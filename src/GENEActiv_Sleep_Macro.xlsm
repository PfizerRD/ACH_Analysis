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2"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psaltd/Desktop/"/>
    </mc:Choice>
  </mc:AlternateContent>
  <xr:revisionPtr revIDLastSave="0" documentId="8_{EA563549-E686-B740-8318-099627BA2B28}" xr6:coauthVersionLast="43" xr6:coauthVersionMax="43" xr10:uidLastSave="{00000000-0000-0000-0000-000000000000}"/>
  <bookViews>
    <workbookView xWindow="0" yWindow="460" windowWidth="27440" windowHeight="15680" tabRatio="735" activeTab="2" xr2:uid="{00000000-000D-0000-FFFF-FFFF00000000}"/>
  </bookViews>
  <sheets>
    <sheet name="Input csv" sheetId="1" r:id="rId1"/>
    <sheet name="Full Data Array" sheetId="6" r:id="rId2"/>
    <sheet name="User Inputs" sheetId="2" r:id="rId3"/>
    <sheet name="Front Page" sheetId="5" r:id="rId4"/>
    <sheet name="Light &amp; Temp Charts" sheetId="9" r:id="rId5"/>
    <sheet name="Summary" sheetId="8" r:id="rId6"/>
    <sheet name="Version control" sheetId="10" state="hidden" r:id="rId7"/>
  </sheets>
  <functionGroups builtInGroupCount="19"/>
  <definedNames>
    <definedName name="act1values" localSheetId="1">'Full Data Array'!$AO$28:$AO$75</definedName>
    <definedName name="bed">'Full Data Array'!$S$1</definedName>
    <definedName name="CalcOffset">'Full Data Array'!$AM$2</definedName>
    <definedName name="days">'Full Data Array'!$AM$1</definedName>
    <definedName name="frequency">'Front Page'!$C$23</definedName>
    <definedName name="light_max">'Full Data Array'!$M$2</definedName>
    <definedName name="light1values" localSheetId="1">'Full Data Array'!$AP$28:$AP$75</definedName>
    <definedName name="ligth_max">'Full Data Array'!$M$2</definedName>
    <definedName name="max_activity">'Full Data Array'!$N$1</definedName>
    <definedName name="max_temp">'Full Data Array'!$AT$1</definedName>
    <definedName name="midnight_row">'Full Data Array'!$AK$2</definedName>
    <definedName name="noon_row">'Full Data Array'!$AG$2</definedName>
    <definedName name="_xlnm.Print_Area" localSheetId="1">'Full Data Array'!$BB$6:$BL$71</definedName>
    <definedName name="_xlnm.Print_Area" localSheetId="4">'Light &amp; Temp Charts'!$A$1:$O$84</definedName>
    <definedName name="_xlnm.Print_Area" localSheetId="5">Summary!$A$2:$P$39</definedName>
    <definedName name="_xlnm.Print_Titles" localSheetId="4">'Light &amp; Temp Charts'!$1:$2</definedName>
    <definedName name="Res">'Full Data Array'!$AK$1</definedName>
    <definedName name="rows">'Full Data Array'!$AG$1</definedName>
    <definedName name="ss">'User Inputs'!$C$9</definedName>
    <definedName name="T0">'Full Data Array'!$B$4</definedName>
    <definedName name="temp_max">'Full Data Array'!$H$2</definedName>
    <definedName name="xvalues" localSheetId="1">'Full Data Array'!$AK$28:$AK$75</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5" i="5" l="1"/>
  <c r="C28" i="5"/>
  <c r="N7" i="8"/>
  <c r="N8" i="8"/>
  <c r="N6" i="8"/>
  <c r="G8" i="8"/>
  <c r="H8" i="8"/>
  <c r="F7" i="8"/>
  <c r="F8" i="8"/>
  <c r="F6" i="8"/>
  <c r="M7" i="8"/>
  <c r="L7" i="8"/>
  <c r="M8" i="8"/>
  <c r="K8" i="8"/>
  <c r="M6" i="8"/>
  <c r="L13" i="9"/>
  <c r="L14" i="9"/>
  <c r="L15" i="9"/>
  <c r="L16" i="9"/>
  <c r="L17" i="9"/>
  <c r="L18" i="9"/>
  <c r="L19" i="9"/>
  <c r="L20" i="9"/>
  <c r="L21" i="9"/>
  <c r="L22" i="9"/>
  <c r="L23" i="9"/>
  <c r="L12" i="9"/>
  <c r="G7" i="8"/>
  <c r="H7" i="8"/>
  <c r="G6" i="8"/>
  <c r="H6" i="8"/>
  <c r="AG1" i="6"/>
  <c r="A4" i="6"/>
  <c r="BD4" i="6"/>
  <c r="B3" i="9"/>
  <c r="C8" i="8"/>
  <c r="B4" i="6"/>
  <c r="AG2" i="6"/>
  <c r="BE5" i="6"/>
  <c r="BB4" i="6"/>
  <c r="A3" i="9"/>
  <c r="C6" i="8"/>
  <c r="BC5" i="6"/>
  <c r="A7" i="6"/>
  <c r="BC4"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J4" i="6"/>
  <c r="K4" i="6"/>
  <c r="L4" i="6"/>
  <c r="J5" i="6"/>
  <c r="K5" i="6"/>
  <c r="L5" i="6"/>
  <c r="J6" i="6"/>
  <c r="K6" i="6"/>
  <c r="L6" i="6"/>
  <c r="J7" i="6"/>
  <c r="K7" i="6"/>
  <c r="L7" i="6"/>
  <c r="J8" i="6"/>
  <c r="K8" i="6"/>
  <c r="L8" i="6"/>
  <c r="J9" i="6"/>
  <c r="K9" i="6"/>
  <c r="L9" i="6"/>
  <c r="J10" i="6"/>
  <c r="K10" i="6"/>
  <c r="L10" i="6"/>
  <c r="J11" i="6"/>
  <c r="K11" i="6"/>
  <c r="L11" i="6"/>
  <c r="J12" i="6"/>
  <c r="K12" i="6"/>
  <c r="L12" i="6"/>
  <c r="J13" i="6"/>
  <c r="K13" i="6"/>
  <c r="L13" i="6"/>
  <c r="J14" i="6"/>
  <c r="K14" i="6"/>
  <c r="L14" i="6"/>
  <c r="J15" i="6"/>
  <c r="K15" i="6"/>
  <c r="L15" i="6"/>
  <c r="J16" i="6"/>
  <c r="K16" i="6"/>
  <c r="L16" i="6"/>
  <c r="J17" i="6"/>
  <c r="K17" i="6"/>
  <c r="L17" i="6"/>
  <c r="J18" i="6"/>
  <c r="K18" i="6"/>
  <c r="L18" i="6"/>
  <c r="J19" i="6"/>
  <c r="K19" i="6"/>
  <c r="L19" i="6"/>
  <c r="J20" i="6"/>
  <c r="K20" i="6"/>
  <c r="L20" i="6"/>
  <c r="J21" i="6"/>
  <c r="K21" i="6"/>
  <c r="L21" i="6"/>
  <c r="J22" i="6"/>
  <c r="K22" i="6"/>
  <c r="L22" i="6"/>
  <c r="J23" i="6"/>
  <c r="K23" i="6"/>
  <c r="L23" i="6"/>
  <c r="J24" i="6"/>
  <c r="K24" i="6"/>
  <c r="L24" i="6"/>
  <c r="J25" i="6"/>
  <c r="K25" i="6"/>
  <c r="L25" i="6"/>
  <c r="J26" i="6"/>
  <c r="K26" i="6"/>
  <c r="L26" i="6"/>
  <c r="J27" i="6"/>
  <c r="K27" i="6"/>
  <c r="L27" i="6"/>
  <c r="J28" i="6"/>
  <c r="K28" i="6"/>
  <c r="L28" i="6"/>
  <c r="J29" i="6"/>
  <c r="K29" i="6"/>
  <c r="L29" i="6"/>
  <c r="J30" i="6"/>
  <c r="K30" i="6"/>
  <c r="L30" i="6"/>
  <c r="J31" i="6"/>
  <c r="K31" i="6"/>
  <c r="L31" i="6"/>
  <c r="J32" i="6"/>
  <c r="K32" i="6"/>
  <c r="L32" i="6"/>
  <c r="J33" i="6"/>
  <c r="K33" i="6"/>
  <c r="L33" i="6"/>
  <c r="J34" i="6"/>
  <c r="K34" i="6"/>
  <c r="L34" i="6"/>
  <c r="J35" i="6"/>
  <c r="K35" i="6"/>
  <c r="L35" i="6"/>
  <c r="J36" i="6"/>
  <c r="K36" i="6"/>
  <c r="L36" i="6"/>
  <c r="J37" i="6"/>
  <c r="K37" i="6"/>
  <c r="L37" i="6"/>
  <c r="J38" i="6"/>
  <c r="K38" i="6"/>
  <c r="L38" i="6"/>
  <c r="J39" i="6"/>
  <c r="K39" i="6"/>
  <c r="L39" i="6"/>
  <c r="J40" i="6"/>
  <c r="K40" i="6"/>
  <c r="L40" i="6"/>
  <c r="J41" i="6"/>
  <c r="K41" i="6"/>
  <c r="L41" i="6"/>
  <c r="J42" i="6"/>
  <c r="K42" i="6"/>
  <c r="L42" i="6"/>
  <c r="J43" i="6"/>
  <c r="K43" i="6"/>
  <c r="L43" i="6"/>
  <c r="J44" i="6"/>
  <c r="K44" i="6"/>
  <c r="L44" i="6"/>
  <c r="J45" i="6"/>
  <c r="K45" i="6"/>
  <c r="L45" i="6"/>
  <c r="J46" i="6"/>
  <c r="K46" i="6"/>
  <c r="L46" i="6"/>
  <c r="J47" i="6"/>
  <c r="K47" i="6"/>
  <c r="L47" i="6"/>
  <c r="J48" i="6"/>
  <c r="K48" i="6"/>
  <c r="L48" i="6"/>
  <c r="J49" i="6"/>
  <c r="K49" i="6"/>
  <c r="L49" i="6"/>
  <c r="J50" i="6"/>
  <c r="K50" i="6"/>
  <c r="L50" i="6"/>
  <c r="J51" i="6"/>
  <c r="K51" i="6"/>
  <c r="L51" i="6"/>
  <c r="J52" i="6"/>
  <c r="K52" i="6"/>
  <c r="L52" i="6"/>
  <c r="J53" i="6"/>
  <c r="K53" i="6"/>
  <c r="L53" i="6"/>
  <c r="J54" i="6"/>
  <c r="K54" i="6"/>
  <c r="L54" i="6"/>
  <c r="J55" i="6"/>
  <c r="K55" i="6"/>
  <c r="L55" i="6"/>
  <c r="J56" i="6"/>
  <c r="K56" i="6"/>
  <c r="L56" i="6"/>
  <c r="J57" i="6"/>
  <c r="K57" i="6"/>
  <c r="L57" i="6"/>
  <c r="J58" i="6"/>
  <c r="K58" i="6"/>
  <c r="L58" i="6"/>
  <c r="J59" i="6"/>
  <c r="K59" i="6"/>
  <c r="L59" i="6"/>
  <c r="J60" i="6"/>
  <c r="K60" i="6"/>
  <c r="L60" i="6"/>
  <c r="J61" i="6"/>
  <c r="K61" i="6"/>
  <c r="L61" i="6"/>
  <c r="J62" i="6"/>
  <c r="K62" i="6"/>
  <c r="L62" i="6"/>
  <c r="J63" i="6"/>
  <c r="K63" i="6"/>
  <c r="L63" i="6"/>
  <c r="J64" i="6"/>
  <c r="K64" i="6"/>
  <c r="L64" i="6"/>
  <c r="L65" i="6"/>
  <c r="K65" i="6"/>
  <c r="J65" i="6"/>
  <c r="C4" i="6"/>
  <c r="C5" i="6"/>
  <c r="D4" i="6"/>
  <c r="D5" i="6"/>
  <c r="E4" i="6"/>
  <c r="E5" i="6"/>
  <c r="I5" i="6"/>
  <c r="C23" i="5"/>
  <c r="C6" i="6"/>
  <c r="D6" i="6"/>
  <c r="E6" i="6"/>
  <c r="I6" i="6"/>
  <c r="C7" i="6"/>
  <c r="D7" i="6"/>
  <c r="E7" i="6"/>
  <c r="I7" i="6"/>
  <c r="C8" i="6"/>
  <c r="D8" i="6"/>
  <c r="E8" i="6"/>
  <c r="I8" i="6"/>
  <c r="C9" i="6"/>
  <c r="D9" i="6"/>
  <c r="E9" i="6"/>
  <c r="I9" i="6"/>
  <c r="C10" i="6"/>
  <c r="D10" i="6"/>
  <c r="E10" i="6"/>
  <c r="I10" i="6"/>
  <c r="C11" i="6"/>
  <c r="D11" i="6"/>
  <c r="E11" i="6"/>
  <c r="I11" i="6"/>
  <c r="C12" i="6"/>
  <c r="D12" i="6"/>
  <c r="E12" i="6"/>
  <c r="I12" i="6"/>
  <c r="C13" i="6"/>
  <c r="D13" i="6"/>
  <c r="E13" i="6"/>
  <c r="I13" i="6"/>
  <c r="C14" i="6"/>
  <c r="D14" i="6"/>
  <c r="E14" i="6"/>
  <c r="I14" i="6"/>
  <c r="C15" i="6"/>
  <c r="D15" i="6"/>
  <c r="E15" i="6"/>
  <c r="I15" i="6"/>
  <c r="C16" i="6"/>
  <c r="D16" i="6"/>
  <c r="E16" i="6"/>
  <c r="I16" i="6"/>
  <c r="C17" i="6"/>
  <c r="D17" i="6"/>
  <c r="E17" i="6"/>
  <c r="I17" i="6"/>
  <c r="C18" i="6"/>
  <c r="D18" i="6"/>
  <c r="E18" i="6"/>
  <c r="I18" i="6"/>
  <c r="C19" i="6"/>
  <c r="D19" i="6"/>
  <c r="E19" i="6"/>
  <c r="I19" i="6"/>
  <c r="C20" i="6"/>
  <c r="D20" i="6"/>
  <c r="E20" i="6"/>
  <c r="I20" i="6"/>
  <c r="C21" i="6"/>
  <c r="D21" i="6"/>
  <c r="E21" i="6"/>
  <c r="I21" i="6"/>
  <c r="C22" i="6"/>
  <c r="D22" i="6"/>
  <c r="E22" i="6"/>
  <c r="I22" i="6"/>
  <c r="C23" i="6"/>
  <c r="D23" i="6"/>
  <c r="E23" i="6"/>
  <c r="I23" i="6"/>
  <c r="C24" i="6"/>
  <c r="D24" i="6"/>
  <c r="E24" i="6"/>
  <c r="I24" i="6"/>
  <c r="C25" i="6"/>
  <c r="D25" i="6"/>
  <c r="E25" i="6"/>
  <c r="I25" i="6"/>
  <c r="C26" i="6"/>
  <c r="D26" i="6"/>
  <c r="E26" i="6"/>
  <c r="I26" i="6"/>
  <c r="C27" i="6"/>
  <c r="D27" i="6"/>
  <c r="E27" i="6"/>
  <c r="I27" i="6"/>
  <c r="C28" i="6"/>
  <c r="D28" i="6"/>
  <c r="E28" i="6"/>
  <c r="I28" i="6"/>
  <c r="C29" i="6"/>
  <c r="D29" i="6"/>
  <c r="E29" i="6"/>
  <c r="I29" i="6"/>
  <c r="C30" i="6"/>
  <c r="D30" i="6"/>
  <c r="E30" i="6"/>
  <c r="I30" i="6"/>
  <c r="C31" i="6"/>
  <c r="D31" i="6"/>
  <c r="E31" i="6"/>
  <c r="I31" i="6"/>
  <c r="C32" i="6"/>
  <c r="D32" i="6"/>
  <c r="E32" i="6"/>
  <c r="I32" i="6"/>
  <c r="C33" i="6"/>
  <c r="D33" i="6"/>
  <c r="E33" i="6"/>
  <c r="I33" i="6"/>
  <c r="C34" i="6"/>
  <c r="D34" i="6"/>
  <c r="E34" i="6"/>
  <c r="I34" i="6"/>
  <c r="C35" i="6"/>
  <c r="D35" i="6"/>
  <c r="E35" i="6"/>
  <c r="I35" i="6"/>
  <c r="C36" i="6"/>
  <c r="D36" i="6"/>
  <c r="E36" i="6"/>
  <c r="I36" i="6"/>
  <c r="C37" i="6"/>
  <c r="D37" i="6"/>
  <c r="E37" i="6"/>
  <c r="I37" i="6"/>
  <c r="C38" i="6"/>
  <c r="D38" i="6"/>
  <c r="E38" i="6"/>
  <c r="I38" i="6"/>
  <c r="C39" i="6"/>
  <c r="D39" i="6"/>
  <c r="E39" i="6"/>
  <c r="I39" i="6"/>
  <c r="C40" i="6"/>
  <c r="D40" i="6"/>
  <c r="E40" i="6"/>
  <c r="I40" i="6"/>
  <c r="C41" i="6"/>
  <c r="D41" i="6"/>
  <c r="E41" i="6"/>
  <c r="I41" i="6"/>
  <c r="C42" i="6"/>
  <c r="D42" i="6"/>
  <c r="E42" i="6"/>
  <c r="I42" i="6"/>
  <c r="C43" i="6"/>
  <c r="D43" i="6"/>
  <c r="E43" i="6"/>
  <c r="I43" i="6"/>
  <c r="C44" i="6"/>
  <c r="D44" i="6"/>
  <c r="E44" i="6"/>
  <c r="I44" i="6"/>
  <c r="C45" i="6"/>
  <c r="D45" i="6"/>
  <c r="E45" i="6"/>
  <c r="I45" i="6"/>
  <c r="C46" i="6"/>
  <c r="D46" i="6"/>
  <c r="E46" i="6"/>
  <c r="I46" i="6"/>
  <c r="C47" i="6"/>
  <c r="D47" i="6"/>
  <c r="E47" i="6"/>
  <c r="I47" i="6"/>
  <c r="C48" i="6"/>
  <c r="D48" i="6"/>
  <c r="E48" i="6"/>
  <c r="I48" i="6"/>
  <c r="C49" i="6"/>
  <c r="D49" i="6"/>
  <c r="E49" i="6"/>
  <c r="I49" i="6"/>
  <c r="C50" i="6"/>
  <c r="D50" i="6"/>
  <c r="E50" i="6"/>
  <c r="I50" i="6"/>
  <c r="C51" i="6"/>
  <c r="D51" i="6"/>
  <c r="E51" i="6"/>
  <c r="I51" i="6"/>
  <c r="C52" i="6"/>
  <c r="D52" i="6"/>
  <c r="E52" i="6"/>
  <c r="I52" i="6"/>
  <c r="C53" i="6"/>
  <c r="D53" i="6"/>
  <c r="E53" i="6"/>
  <c r="I53" i="6"/>
  <c r="C54" i="6"/>
  <c r="D54" i="6"/>
  <c r="E54" i="6"/>
  <c r="I54" i="6"/>
  <c r="C55" i="6"/>
  <c r="D55" i="6"/>
  <c r="E55" i="6"/>
  <c r="I55" i="6"/>
  <c r="C56" i="6"/>
  <c r="D56" i="6"/>
  <c r="E56" i="6"/>
  <c r="I56" i="6"/>
  <c r="C57" i="6"/>
  <c r="D57" i="6"/>
  <c r="E57" i="6"/>
  <c r="I57" i="6"/>
  <c r="C58" i="6"/>
  <c r="D58" i="6"/>
  <c r="E58" i="6"/>
  <c r="I58" i="6"/>
  <c r="C59" i="6"/>
  <c r="D59" i="6"/>
  <c r="E59" i="6"/>
  <c r="I59" i="6"/>
  <c r="C60" i="6"/>
  <c r="D60" i="6"/>
  <c r="E60" i="6"/>
  <c r="I60" i="6"/>
  <c r="C61" i="6"/>
  <c r="D61" i="6"/>
  <c r="E61" i="6"/>
  <c r="I61" i="6"/>
  <c r="C62" i="6"/>
  <c r="D62" i="6"/>
  <c r="E62" i="6"/>
  <c r="I62" i="6"/>
  <c r="C63" i="6"/>
  <c r="D63" i="6"/>
  <c r="E63" i="6"/>
  <c r="I63" i="6"/>
  <c r="C64" i="6"/>
  <c r="D64" i="6"/>
  <c r="E64" i="6"/>
  <c r="I64" i="6"/>
  <c r="C65" i="6"/>
  <c r="D65" i="6"/>
  <c r="E65" i="6"/>
  <c r="I65" i="6"/>
  <c r="I4" i="6"/>
  <c r="T4" i="6"/>
  <c r="A34" i="6"/>
  <c r="F34" i="6"/>
  <c r="G34" i="6"/>
  <c r="H34" i="6"/>
  <c r="A35" i="6"/>
  <c r="F35" i="6"/>
  <c r="G35" i="6"/>
  <c r="H35" i="6"/>
  <c r="A36" i="6"/>
  <c r="F36" i="6"/>
  <c r="G36" i="6"/>
  <c r="H36" i="6"/>
  <c r="A37" i="6"/>
  <c r="F37" i="6"/>
  <c r="G37" i="6"/>
  <c r="H37" i="6"/>
  <c r="A38" i="6"/>
  <c r="F38" i="6"/>
  <c r="G38" i="6"/>
  <c r="H38" i="6"/>
  <c r="A39" i="6"/>
  <c r="F39" i="6"/>
  <c r="G39" i="6"/>
  <c r="H39" i="6"/>
  <c r="A40" i="6"/>
  <c r="F40" i="6"/>
  <c r="G40" i="6"/>
  <c r="H40" i="6"/>
  <c r="A41" i="6"/>
  <c r="F41" i="6"/>
  <c r="G41" i="6"/>
  <c r="H41" i="6"/>
  <c r="A42" i="6"/>
  <c r="F42" i="6"/>
  <c r="G42" i="6"/>
  <c r="H42" i="6"/>
  <c r="A43" i="6"/>
  <c r="F43" i="6"/>
  <c r="G43" i="6"/>
  <c r="H43" i="6"/>
  <c r="A44" i="6"/>
  <c r="F44" i="6"/>
  <c r="G44" i="6"/>
  <c r="H44" i="6"/>
  <c r="A45" i="6"/>
  <c r="F45" i="6"/>
  <c r="G45" i="6"/>
  <c r="H45" i="6"/>
  <c r="A46" i="6"/>
  <c r="F46" i="6"/>
  <c r="G46" i="6"/>
  <c r="H46" i="6"/>
  <c r="A47" i="6"/>
  <c r="F47" i="6"/>
  <c r="G47" i="6"/>
  <c r="H47" i="6"/>
  <c r="A48" i="6"/>
  <c r="F48" i="6"/>
  <c r="G48" i="6"/>
  <c r="H48" i="6"/>
  <c r="A49" i="6"/>
  <c r="F49" i="6"/>
  <c r="G49" i="6"/>
  <c r="H49" i="6"/>
  <c r="A50" i="6"/>
  <c r="F50" i="6"/>
  <c r="G50" i="6"/>
  <c r="H50" i="6"/>
  <c r="A51" i="6"/>
  <c r="F51" i="6"/>
  <c r="G51" i="6"/>
  <c r="H51" i="6"/>
  <c r="A52" i="6"/>
  <c r="F52" i="6"/>
  <c r="G52" i="6"/>
  <c r="H52" i="6"/>
  <c r="A53" i="6"/>
  <c r="F53" i="6"/>
  <c r="G53" i="6"/>
  <c r="H53" i="6"/>
  <c r="A54" i="6"/>
  <c r="F54" i="6"/>
  <c r="G54" i="6"/>
  <c r="H54" i="6"/>
  <c r="A55" i="6"/>
  <c r="F55" i="6"/>
  <c r="G55" i="6"/>
  <c r="H55" i="6"/>
  <c r="A56" i="6"/>
  <c r="F56" i="6"/>
  <c r="G56" i="6"/>
  <c r="H56" i="6"/>
  <c r="A57" i="6"/>
  <c r="F57" i="6"/>
  <c r="G57" i="6"/>
  <c r="H57" i="6"/>
  <c r="A58" i="6"/>
  <c r="F58" i="6"/>
  <c r="G58" i="6"/>
  <c r="H58" i="6"/>
  <c r="A59" i="6"/>
  <c r="F59" i="6"/>
  <c r="G59" i="6"/>
  <c r="H59" i="6"/>
  <c r="A60" i="6"/>
  <c r="F60" i="6"/>
  <c r="G60" i="6"/>
  <c r="H60" i="6"/>
  <c r="A61" i="6"/>
  <c r="F61" i="6"/>
  <c r="G61" i="6"/>
  <c r="H61" i="6"/>
  <c r="A62" i="6"/>
  <c r="F62" i="6"/>
  <c r="G62" i="6"/>
  <c r="H62" i="6"/>
  <c r="A63" i="6"/>
  <c r="F63" i="6"/>
  <c r="G63" i="6"/>
  <c r="H63" i="6"/>
  <c r="A64" i="6"/>
  <c r="F64" i="6"/>
  <c r="G64" i="6"/>
  <c r="H64" i="6"/>
  <c r="A65" i="6"/>
  <c r="F65" i="6"/>
  <c r="G65" i="6"/>
  <c r="H65" i="6"/>
  <c r="C16" i="5"/>
  <c r="C17" i="5"/>
  <c r="C35" i="5"/>
  <c r="C5" i="5"/>
  <c r="A17" i="6"/>
  <c r="F17" i="6"/>
  <c r="G17" i="6"/>
  <c r="H17" i="6"/>
  <c r="A18" i="6"/>
  <c r="F18" i="6"/>
  <c r="G18" i="6"/>
  <c r="H18" i="6"/>
  <c r="A19" i="6"/>
  <c r="F19" i="6"/>
  <c r="G19" i="6"/>
  <c r="H19" i="6"/>
  <c r="A20" i="6"/>
  <c r="F20" i="6"/>
  <c r="G20" i="6"/>
  <c r="H20" i="6"/>
  <c r="A21" i="6"/>
  <c r="F21" i="6"/>
  <c r="G21" i="6"/>
  <c r="H21" i="6"/>
  <c r="A22" i="6"/>
  <c r="F22" i="6"/>
  <c r="G22" i="6"/>
  <c r="H22" i="6"/>
  <c r="A23" i="6"/>
  <c r="F23" i="6"/>
  <c r="G23" i="6"/>
  <c r="H23" i="6"/>
  <c r="A24" i="6"/>
  <c r="F24" i="6"/>
  <c r="G24" i="6"/>
  <c r="H24" i="6"/>
  <c r="A25" i="6"/>
  <c r="F25" i="6"/>
  <c r="G25" i="6"/>
  <c r="H25" i="6"/>
  <c r="A26" i="6"/>
  <c r="F26" i="6"/>
  <c r="G26" i="6"/>
  <c r="H26" i="6"/>
  <c r="A27" i="6"/>
  <c r="F27" i="6"/>
  <c r="G27" i="6"/>
  <c r="H27" i="6"/>
  <c r="A28" i="6"/>
  <c r="F28" i="6"/>
  <c r="G28" i="6"/>
  <c r="H28" i="6"/>
  <c r="A29" i="6"/>
  <c r="F29" i="6"/>
  <c r="G29" i="6"/>
  <c r="H29" i="6"/>
  <c r="A30" i="6"/>
  <c r="F30" i="6"/>
  <c r="G30" i="6"/>
  <c r="H30" i="6"/>
  <c r="A31" i="6"/>
  <c r="F31" i="6"/>
  <c r="G31" i="6"/>
  <c r="H31" i="6"/>
  <c r="A32" i="6"/>
  <c r="F32" i="6"/>
  <c r="G32" i="6"/>
  <c r="H32" i="6"/>
  <c r="A33" i="6"/>
  <c r="F33" i="6"/>
  <c r="G33" i="6"/>
  <c r="H33" i="6"/>
  <c r="C25" i="5"/>
  <c r="C39" i="5"/>
  <c r="C24" i="5"/>
  <c r="C31" i="5"/>
  <c r="C30" i="5"/>
  <c r="C29" i="5"/>
  <c r="C18" i="5"/>
  <c r="C14" i="5"/>
  <c r="C13" i="5"/>
  <c r="C12" i="5"/>
  <c r="C26" i="5"/>
  <c r="A5" i="6"/>
  <c r="A6" i="6"/>
  <c r="A8" i="6"/>
  <c r="A9" i="6"/>
  <c r="A10" i="6"/>
  <c r="A11" i="6"/>
  <c r="A12" i="6"/>
  <c r="A13" i="6"/>
  <c r="A14" i="6"/>
  <c r="A15" i="6"/>
  <c r="A16" i="6"/>
  <c r="C6" i="5"/>
  <c r="AN1" i="6"/>
  <c r="F4" i="6"/>
  <c r="G4" i="6"/>
  <c r="H4" i="6"/>
  <c r="F5" i="6"/>
  <c r="G5" i="6"/>
  <c r="H5" i="6"/>
  <c r="F6" i="6"/>
  <c r="G6" i="6"/>
  <c r="H6" i="6"/>
  <c r="F7" i="6"/>
  <c r="G7" i="6"/>
  <c r="H7" i="6"/>
  <c r="F8" i="6"/>
  <c r="G8" i="6"/>
  <c r="H8" i="6"/>
  <c r="F9" i="6"/>
  <c r="G9" i="6"/>
  <c r="H9" i="6"/>
  <c r="F10" i="6"/>
  <c r="G10" i="6"/>
  <c r="H10" i="6"/>
  <c r="F11" i="6"/>
  <c r="G11" i="6"/>
  <c r="H11" i="6"/>
  <c r="F12" i="6"/>
  <c r="G12" i="6"/>
  <c r="H12" i="6"/>
  <c r="F13" i="6"/>
  <c r="G13" i="6"/>
  <c r="H13" i="6"/>
  <c r="F14" i="6"/>
  <c r="G14" i="6"/>
  <c r="H14" i="6"/>
  <c r="F15" i="6"/>
  <c r="G15" i="6"/>
  <c r="H15" i="6"/>
  <c r="F16" i="6"/>
  <c r="G16" i="6"/>
  <c r="H16" i="6"/>
  <c r="C27" i="5"/>
  <c r="AO1" i="6"/>
  <c r="AP1" i="6"/>
  <c r="BE6" i="6"/>
  <c r="C7" i="8"/>
  <c r="O58" i="6"/>
  <c r="O19" i="6"/>
  <c r="N15" i="6"/>
  <c r="AM1" i="6"/>
  <c r="O39" i="6"/>
  <c r="T39" i="6"/>
  <c r="O35" i="6"/>
  <c r="O28" i="6"/>
  <c r="T28" i="6"/>
  <c r="O26" i="6"/>
  <c r="T26" i="6"/>
  <c r="K7" i="8"/>
  <c r="O32" i="6"/>
  <c r="O40" i="6"/>
  <c r="T40" i="6"/>
  <c r="O24" i="6"/>
  <c r="T24" i="6"/>
  <c r="O14" i="6"/>
  <c r="T14" i="6"/>
  <c r="O11" i="6"/>
  <c r="O60" i="6"/>
  <c r="T60" i="6"/>
  <c r="O44" i="6"/>
  <c r="T44" i="6"/>
  <c r="O8" i="6"/>
  <c r="Q8" i="6"/>
  <c r="X8" i="6"/>
  <c r="O55" i="6"/>
  <c r="T55" i="6"/>
  <c r="O46" i="6"/>
  <c r="BA4" i="6"/>
  <c r="BA5" i="6"/>
  <c r="BB5" i="6"/>
  <c r="O12" i="6"/>
  <c r="Q4" i="6"/>
  <c r="X4" i="6"/>
  <c r="Y4" i="6"/>
  <c r="O62" i="6"/>
  <c r="T62" i="6"/>
  <c r="O59" i="6"/>
  <c r="O54" i="6"/>
  <c r="O43" i="6"/>
  <c r="O34" i="6"/>
  <c r="O30" i="6"/>
  <c r="T30" i="6"/>
  <c r="O27" i="6"/>
  <c r="O18" i="6"/>
  <c r="O10" i="6"/>
  <c r="T10" i="6"/>
  <c r="O7" i="6"/>
  <c r="P14" i="6"/>
  <c r="B5" i="6"/>
  <c r="L8" i="8"/>
  <c r="Q55" i="6"/>
  <c r="X55" i="6"/>
  <c r="A1" i="6"/>
  <c r="O23" i="6"/>
  <c r="Q11" i="6"/>
  <c r="X11" i="6"/>
  <c r="Q43" i="6"/>
  <c r="X43" i="6"/>
  <c r="O38" i="6"/>
  <c r="O22" i="6"/>
  <c r="Q22" i="6"/>
  <c r="X22" i="6"/>
  <c r="O17" i="6"/>
  <c r="O13" i="6"/>
  <c r="P65" i="6"/>
  <c r="AK2" i="6"/>
  <c r="T46" i="6"/>
  <c r="Q46" i="6"/>
  <c r="X46" i="6"/>
  <c r="P63" i="6"/>
  <c r="N64" i="6"/>
  <c r="N60" i="6"/>
  <c r="P59" i="6"/>
  <c r="P55" i="6"/>
  <c r="N56" i="6"/>
  <c r="N52" i="6"/>
  <c r="P51" i="6"/>
  <c r="P47" i="6"/>
  <c r="N48" i="6"/>
  <c r="N44" i="6"/>
  <c r="P43" i="6"/>
  <c r="P39" i="6"/>
  <c r="N40" i="6"/>
  <c r="N36" i="6"/>
  <c r="P35" i="6"/>
  <c r="P31" i="6"/>
  <c r="N32" i="6"/>
  <c r="N28" i="6"/>
  <c r="P27" i="6"/>
  <c r="P23" i="6"/>
  <c r="N24" i="6"/>
  <c r="N20" i="6"/>
  <c r="P19" i="6"/>
  <c r="P15" i="6"/>
  <c r="N16" i="6"/>
  <c r="N12" i="6"/>
  <c r="P11" i="6"/>
  <c r="P7" i="6"/>
  <c r="N8" i="6"/>
  <c r="M2" i="6"/>
  <c r="P62" i="6"/>
  <c r="N63" i="6"/>
  <c r="P58" i="6"/>
  <c r="N59" i="6"/>
  <c r="P54" i="6"/>
  <c r="N55" i="6"/>
  <c r="P50" i="6"/>
  <c r="N51" i="6"/>
  <c r="P46" i="6"/>
  <c r="N47" i="6"/>
  <c r="P42" i="6"/>
  <c r="N43" i="6"/>
  <c r="P38" i="6"/>
  <c r="N39" i="6"/>
  <c r="P34" i="6"/>
  <c r="N35" i="6"/>
  <c r="P30" i="6"/>
  <c r="N31" i="6"/>
  <c r="P26" i="6"/>
  <c r="N27" i="6"/>
  <c r="P22" i="6"/>
  <c r="N23" i="6"/>
  <c r="P18" i="6"/>
  <c r="N19" i="6"/>
  <c r="P10" i="6"/>
  <c r="N11" i="6"/>
  <c r="P6" i="6"/>
  <c r="N7" i="6"/>
  <c r="L6" i="8"/>
  <c r="K6" i="8"/>
  <c r="O64" i="6"/>
  <c r="O63" i="6"/>
  <c r="O53" i="6"/>
  <c r="O52" i="6"/>
  <c r="T35" i="6"/>
  <c r="Q35" i="6"/>
  <c r="X35" i="6"/>
  <c r="Q12" i="6"/>
  <c r="X12" i="6"/>
  <c r="T12" i="6"/>
  <c r="T11" i="6"/>
  <c r="Q62" i="6"/>
  <c r="X62" i="6"/>
  <c r="Q54" i="6"/>
  <c r="X54" i="6"/>
  <c r="T54" i="6"/>
  <c r="O42" i="6"/>
  <c r="Q32" i="6"/>
  <c r="X32" i="6"/>
  <c r="T32" i="6"/>
  <c r="N65" i="6"/>
  <c r="P64" i="6"/>
  <c r="N61" i="6"/>
  <c r="P60" i="6"/>
  <c r="N57" i="6"/>
  <c r="P56" i="6"/>
  <c r="N53" i="6"/>
  <c r="P52" i="6"/>
  <c r="N49" i="6"/>
  <c r="P48" i="6"/>
  <c r="N45" i="6"/>
  <c r="P44" i="6"/>
  <c r="N41" i="6"/>
  <c r="P40" i="6"/>
  <c r="N37" i="6"/>
  <c r="P36" i="6"/>
  <c r="N33" i="6"/>
  <c r="P32" i="6"/>
  <c r="N29" i="6"/>
  <c r="P28" i="6"/>
  <c r="N25" i="6"/>
  <c r="P24" i="6"/>
  <c r="N21" i="6"/>
  <c r="P20" i="6"/>
  <c r="N17" i="6"/>
  <c r="P16" i="6"/>
  <c r="N13" i="6"/>
  <c r="P12" i="6"/>
  <c r="N9" i="6"/>
  <c r="P8" i="6"/>
  <c r="N5" i="6"/>
  <c r="N4" i="6"/>
  <c r="P4" i="6"/>
  <c r="T58" i="6"/>
  <c r="Q58" i="6"/>
  <c r="X58" i="6"/>
  <c r="O57" i="6"/>
  <c r="O56" i="6"/>
  <c r="O50" i="6"/>
  <c r="O51" i="6"/>
  <c r="T43" i="6"/>
  <c r="O31" i="6"/>
  <c r="N62" i="6"/>
  <c r="P61" i="6"/>
  <c r="N58" i="6"/>
  <c r="P57" i="6"/>
  <c r="N54" i="6"/>
  <c r="P53" i="6"/>
  <c r="N50" i="6"/>
  <c r="P49" i="6"/>
  <c r="N46" i="6"/>
  <c r="P45" i="6"/>
  <c r="N42" i="6"/>
  <c r="P41" i="6"/>
  <c r="N38" i="6"/>
  <c r="P37" i="6"/>
  <c r="N34" i="6"/>
  <c r="P33" i="6"/>
  <c r="N30" i="6"/>
  <c r="P29" i="6"/>
  <c r="N26" i="6"/>
  <c r="P25" i="6"/>
  <c r="N22" i="6"/>
  <c r="P21" i="6"/>
  <c r="N18" i="6"/>
  <c r="P17" i="6"/>
  <c r="N14" i="6"/>
  <c r="P13" i="6"/>
  <c r="N10" i="6"/>
  <c r="P9" i="6"/>
  <c r="N6" i="6"/>
  <c r="P5" i="6"/>
  <c r="BF6" i="6"/>
  <c r="BE7" i="6"/>
  <c r="Q60" i="6"/>
  <c r="X60" i="6"/>
  <c r="O48" i="6"/>
  <c r="O37" i="6"/>
  <c r="O36" i="6"/>
  <c r="T19" i="6"/>
  <c r="Q19" i="6"/>
  <c r="X19" i="6"/>
  <c r="O16" i="6"/>
  <c r="O5" i="6"/>
  <c r="O6" i="6"/>
  <c r="AT1" i="6"/>
  <c r="O47" i="6"/>
  <c r="O41" i="6"/>
  <c r="O21" i="6"/>
  <c r="O20" i="6"/>
  <c r="O15" i="6"/>
  <c r="O65" i="6"/>
  <c r="O49" i="6"/>
  <c r="O33" i="6"/>
  <c r="O61" i="6"/>
  <c r="O45" i="6"/>
  <c r="O29" i="6"/>
  <c r="O25" i="6"/>
  <c r="O9" i="6"/>
  <c r="Q10" i="6"/>
  <c r="X10" i="6"/>
  <c r="Q28" i="6"/>
  <c r="X28" i="6"/>
  <c r="Q44" i="6"/>
  <c r="X44" i="6"/>
  <c r="Q24" i="6"/>
  <c r="X24" i="6"/>
  <c r="Q40" i="6"/>
  <c r="X40" i="6"/>
  <c r="T22" i="6"/>
  <c r="Q39" i="6"/>
  <c r="X39" i="6"/>
  <c r="Q26" i="6"/>
  <c r="X26" i="6"/>
  <c r="T8" i="6"/>
  <c r="Q30" i="6"/>
  <c r="X30" i="6"/>
  <c r="Q14" i="6"/>
  <c r="X14" i="6"/>
  <c r="Q38" i="6"/>
  <c r="X38" i="6"/>
  <c r="T38" i="6"/>
  <c r="T27" i="6"/>
  <c r="Q27" i="6"/>
  <c r="X27" i="6"/>
  <c r="T13" i="6"/>
  <c r="Q13" i="6"/>
  <c r="X13" i="6"/>
  <c r="T7" i="6"/>
  <c r="Q7" i="6"/>
  <c r="X7" i="6"/>
  <c r="T59" i="6"/>
  <c r="Q59" i="6"/>
  <c r="X59" i="6"/>
  <c r="Q17" i="6"/>
  <c r="X17" i="6"/>
  <c r="T17" i="6"/>
  <c r="Q34" i="6"/>
  <c r="X34" i="6"/>
  <c r="T34" i="6"/>
  <c r="BD5" i="6"/>
  <c r="AM2" i="6"/>
  <c r="T23" i="6"/>
  <c r="Q23" i="6"/>
  <c r="X23" i="6"/>
  <c r="BF4"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T18" i="6"/>
  <c r="Q18" i="6"/>
  <c r="X18" i="6"/>
  <c r="BF5" i="6"/>
  <c r="T45" i="6"/>
  <c r="Q45" i="6"/>
  <c r="X45" i="6"/>
  <c r="Q65" i="6"/>
  <c r="X65" i="6"/>
  <c r="T65" i="6"/>
  <c r="T41" i="6"/>
  <c r="Q41" i="6"/>
  <c r="X41" i="6"/>
  <c r="Q36" i="6"/>
  <c r="X36" i="6"/>
  <c r="T36" i="6"/>
  <c r="T57" i="6"/>
  <c r="Q57" i="6"/>
  <c r="X57" i="6"/>
  <c r="T63" i="6"/>
  <c r="Q63" i="6"/>
  <c r="X63" i="6"/>
  <c r="T9" i="6"/>
  <c r="Q9" i="6"/>
  <c r="X9" i="6"/>
  <c r="Q61" i="6"/>
  <c r="X61" i="6"/>
  <c r="T61" i="6"/>
  <c r="T15" i="6"/>
  <c r="Q15" i="6"/>
  <c r="X15" i="6"/>
  <c r="T47" i="6"/>
  <c r="Q47" i="6"/>
  <c r="X47" i="6"/>
  <c r="Q6" i="6"/>
  <c r="X6" i="6"/>
  <c r="T6" i="6"/>
  <c r="T37" i="6"/>
  <c r="Q37" i="6"/>
  <c r="X37" i="6"/>
  <c r="BE8" i="6"/>
  <c r="BF7" i="6"/>
  <c r="T31" i="6"/>
  <c r="Q31" i="6"/>
  <c r="X31" i="6"/>
  <c r="T51" i="6"/>
  <c r="Q51" i="6"/>
  <c r="X51" i="6"/>
  <c r="N1" i="6"/>
  <c r="Q52" i="6"/>
  <c r="X52" i="6"/>
  <c r="T52" i="6"/>
  <c r="Q64" i="6"/>
  <c r="X64" i="6"/>
  <c r="T64" i="6"/>
  <c r="T25" i="6"/>
  <c r="Q25" i="6"/>
  <c r="X25" i="6"/>
  <c r="Q33" i="6"/>
  <c r="X33" i="6"/>
  <c r="T33" i="6"/>
  <c r="Q20" i="6"/>
  <c r="X20" i="6"/>
  <c r="T20" i="6"/>
  <c r="T5" i="6"/>
  <c r="Q5" i="6"/>
  <c r="X5" i="6"/>
  <c r="Q48" i="6"/>
  <c r="X48" i="6"/>
  <c r="T48" i="6"/>
  <c r="T50" i="6"/>
  <c r="Q50" i="6"/>
  <c r="X50" i="6"/>
  <c r="T53" i="6"/>
  <c r="Q53" i="6"/>
  <c r="X53" i="6"/>
  <c r="Q29" i="6"/>
  <c r="X29" i="6"/>
  <c r="T29" i="6"/>
  <c r="Q49" i="6"/>
  <c r="X49" i="6"/>
  <c r="T49" i="6"/>
  <c r="T21" i="6"/>
  <c r="Q21" i="6"/>
  <c r="X21" i="6"/>
  <c r="Q16" i="6"/>
  <c r="X16" i="6"/>
  <c r="T16" i="6"/>
  <c r="Q56" i="6"/>
  <c r="X56" i="6"/>
  <c r="T56" i="6"/>
  <c r="R6" i="6"/>
  <c r="S6" i="6"/>
  <c r="R8" i="6"/>
  <c r="S8" i="6"/>
  <c r="R10" i="6"/>
  <c r="S10" i="6"/>
  <c r="R12" i="6"/>
  <c r="S12" i="6"/>
  <c r="R14" i="6"/>
  <c r="S14" i="6"/>
  <c r="R9" i="6"/>
  <c r="S9" i="6"/>
  <c r="R18" i="6"/>
  <c r="S18" i="6"/>
  <c r="R22" i="6"/>
  <c r="S22" i="6"/>
  <c r="R25" i="6"/>
  <c r="S25" i="6"/>
  <c r="R29" i="6"/>
  <c r="S29" i="6"/>
  <c r="R33" i="6"/>
  <c r="S33" i="6"/>
  <c r="R37" i="6"/>
  <c r="S37" i="6"/>
  <c r="R41" i="6"/>
  <c r="S41" i="6"/>
  <c r="R45" i="6"/>
  <c r="S45" i="6"/>
  <c r="R49" i="6"/>
  <c r="S49" i="6"/>
  <c r="R53" i="6"/>
  <c r="S53" i="6"/>
  <c r="R57" i="6"/>
  <c r="S57" i="6"/>
  <c r="R61" i="6"/>
  <c r="S61" i="6"/>
  <c r="R7" i="6"/>
  <c r="S7" i="6"/>
  <c r="R15" i="6"/>
  <c r="S15" i="6"/>
  <c r="R17" i="6"/>
  <c r="S17" i="6"/>
  <c r="R21" i="6"/>
  <c r="S21" i="6"/>
  <c r="R24" i="6"/>
  <c r="S24" i="6"/>
  <c r="R28" i="6"/>
  <c r="S28" i="6"/>
  <c r="R32" i="6"/>
  <c r="S32" i="6"/>
  <c r="R36" i="6"/>
  <c r="S36" i="6"/>
  <c r="R40" i="6"/>
  <c r="S40" i="6"/>
  <c r="R44" i="6"/>
  <c r="S44" i="6"/>
  <c r="R48" i="6"/>
  <c r="S48" i="6"/>
  <c r="R52" i="6"/>
  <c r="S52" i="6"/>
  <c r="R56" i="6"/>
  <c r="S56" i="6"/>
  <c r="R60" i="6"/>
  <c r="S60" i="6"/>
  <c r="R64" i="6"/>
  <c r="S64" i="6"/>
  <c r="R13" i="6"/>
  <c r="S13" i="6"/>
  <c r="R20" i="6"/>
  <c r="S20" i="6"/>
  <c r="R23" i="6"/>
  <c r="S23" i="6"/>
  <c r="R31" i="6"/>
  <c r="S31" i="6"/>
  <c r="R39" i="6"/>
  <c r="S39" i="6"/>
  <c r="R47" i="6"/>
  <c r="S47" i="6"/>
  <c r="R55" i="6"/>
  <c r="S55" i="6"/>
  <c r="R63" i="6"/>
  <c r="S63" i="6"/>
  <c r="R26" i="6"/>
  <c r="S26" i="6"/>
  <c r="R34" i="6"/>
  <c r="S34" i="6"/>
  <c r="R42" i="6"/>
  <c r="S42" i="6"/>
  <c r="R50" i="6"/>
  <c r="S50" i="6"/>
  <c r="R58" i="6"/>
  <c r="S58" i="6"/>
  <c r="R5" i="6"/>
  <c r="S5" i="6"/>
  <c r="R65" i="6"/>
  <c r="S65" i="6"/>
  <c r="R27" i="6"/>
  <c r="S27" i="6"/>
  <c r="R43" i="6"/>
  <c r="S43" i="6"/>
  <c r="R59" i="6"/>
  <c r="S59" i="6"/>
  <c r="R16" i="6"/>
  <c r="S16" i="6"/>
  <c r="R38" i="6"/>
  <c r="S38" i="6"/>
  <c r="R54" i="6"/>
  <c r="S54" i="6"/>
  <c r="R4" i="6"/>
  <c r="S4" i="6"/>
  <c r="R19" i="6"/>
  <c r="S19" i="6"/>
  <c r="R30" i="6"/>
  <c r="S30" i="6"/>
  <c r="R62" i="6"/>
  <c r="S62" i="6"/>
  <c r="R35" i="6"/>
  <c r="S35" i="6"/>
  <c r="R46" i="6"/>
  <c r="S46" i="6"/>
  <c r="R11" i="6"/>
  <c r="S11" i="6"/>
  <c r="R51" i="6"/>
  <c r="S51" i="6"/>
  <c r="T42" i="6"/>
  <c r="Q42" i="6"/>
  <c r="X42" i="6"/>
  <c r="Y21" i="6"/>
  <c r="U41" i="6"/>
  <c r="Y41" i="6"/>
  <c r="Z41" i="6"/>
  <c r="Y65" i="6"/>
  <c r="Z65" i="6"/>
  <c r="Y33" i="6"/>
  <c r="U63" i="6"/>
  <c r="Y23" i="6"/>
  <c r="Z23" i="6"/>
  <c r="Y22" i="6"/>
  <c r="Z22" i="6"/>
  <c r="Y25" i="6"/>
  <c r="U64" i="6"/>
  <c r="Y53" i="6"/>
  <c r="Z53" i="6"/>
  <c r="U51" i="6"/>
  <c r="Y57" i="6"/>
  <c r="Z57" i="6"/>
  <c r="Y27" i="6"/>
  <c r="Z27" i="6"/>
  <c r="U43" i="6"/>
  <c r="Y32" i="6"/>
  <c r="Z32" i="6"/>
  <c r="U55" i="6"/>
  <c r="Y30" i="6"/>
  <c r="Z30" i="6"/>
  <c r="U53" i="6"/>
  <c r="Y55" i="6"/>
  <c r="Z55" i="6"/>
  <c r="U59" i="6"/>
  <c r="U37" i="6"/>
  <c r="Y39" i="6"/>
  <c r="Z39" i="6"/>
  <c r="Y50" i="6"/>
  <c r="Z50" i="6"/>
  <c r="Z25" i="6"/>
  <c r="U50" i="6"/>
  <c r="Y40" i="6"/>
  <c r="Z40" i="6"/>
  <c r="Y64" i="6"/>
  <c r="Z64" i="6"/>
  <c r="Y51" i="6"/>
  <c r="U57" i="6"/>
  <c r="Y10" i="6"/>
  <c r="Z10" i="6"/>
  <c r="Y16" i="6"/>
  <c r="Y11" i="6"/>
  <c r="Z11" i="6"/>
  <c r="Y14" i="6"/>
  <c r="Z14" i="6"/>
  <c r="Y6" i="6"/>
  <c r="Z6" i="6"/>
  <c r="Y7" i="6"/>
  <c r="Z7" i="6"/>
  <c r="Y15" i="6"/>
  <c r="Y9" i="6"/>
  <c r="Y8" i="6"/>
  <c r="Z8" i="6"/>
  <c r="Y13" i="6"/>
  <c r="Z13" i="6"/>
  <c r="Y12" i="6"/>
  <c r="Z12" i="6"/>
  <c r="Y5" i="6"/>
  <c r="Z5" i="6"/>
  <c r="U62" i="6"/>
  <c r="Y63" i="6"/>
  <c r="Z63" i="6"/>
  <c r="Y42" i="6"/>
  <c r="Z42" i="6"/>
  <c r="Y48" i="6"/>
  <c r="Z48" i="6"/>
  <c r="Y47" i="6"/>
  <c r="Z47" i="6"/>
  <c r="Z16" i="6"/>
  <c r="Z15" i="6"/>
  <c r="U45" i="6"/>
  <c r="Y43" i="6"/>
  <c r="Z43" i="6"/>
  <c r="U47" i="6"/>
  <c r="U5" i="6"/>
  <c r="U9" i="6"/>
  <c r="U13" i="6"/>
  <c r="U17" i="6"/>
  <c r="U21" i="6"/>
  <c r="U24" i="6"/>
  <c r="U28" i="6"/>
  <c r="U32" i="6"/>
  <c r="U6" i="6"/>
  <c r="U10" i="6"/>
  <c r="U14" i="6"/>
  <c r="U18" i="6"/>
  <c r="U22" i="6"/>
  <c r="U25" i="6"/>
  <c r="U29" i="6"/>
  <c r="U11" i="6"/>
  <c r="U19" i="6"/>
  <c r="U33" i="6"/>
  <c r="U30" i="6"/>
  <c r="U4" i="6"/>
  <c r="U8" i="6"/>
  <c r="U12" i="6"/>
  <c r="U16" i="6"/>
  <c r="U20" i="6"/>
  <c r="U34" i="6"/>
  <c r="U27" i="6"/>
  <c r="U31" i="6"/>
  <c r="U7" i="6"/>
  <c r="U15" i="6"/>
  <c r="U23" i="6"/>
  <c r="U26" i="6"/>
  <c r="Y44" i="6"/>
  <c r="Z44" i="6"/>
  <c r="U60" i="6"/>
  <c r="U35" i="6"/>
  <c r="Y26" i="6"/>
  <c r="Z26" i="6"/>
  <c r="Y20" i="6"/>
  <c r="Z20" i="6"/>
  <c r="Y18" i="6"/>
  <c r="Z18" i="6"/>
  <c r="U52" i="6"/>
  <c r="S1" i="6"/>
  <c r="Z4" i="6"/>
  <c r="Z33" i="6"/>
  <c r="Y60" i="6"/>
  <c r="Z60" i="6"/>
  <c r="Y46" i="6"/>
  <c r="Z46" i="6"/>
  <c r="Y19" i="6"/>
  <c r="Z19" i="6"/>
  <c r="Y59" i="6"/>
  <c r="Z59" i="6"/>
  <c r="U48" i="6"/>
  <c r="U49" i="6"/>
  <c r="Y36" i="6"/>
  <c r="Z36" i="6"/>
  <c r="Y34" i="6"/>
  <c r="Z34" i="6"/>
  <c r="U61" i="6"/>
  <c r="Y62" i="6"/>
  <c r="Z62" i="6"/>
  <c r="Y35" i="6"/>
  <c r="Z35" i="6"/>
  <c r="Y17" i="6"/>
  <c r="Z17" i="6"/>
  <c r="U44" i="6"/>
  <c r="U38" i="6"/>
  <c r="U42" i="6"/>
  <c r="Y45" i="6"/>
  <c r="Z45" i="6"/>
  <c r="Z51" i="6"/>
  <c r="Z21" i="6"/>
  <c r="Z9" i="6"/>
  <c r="Y38" i="6"/>
  <c r="Z38" i="6"/>
  <c r="U58" i="6"/>
  <c r="Y49" i="6"/>
  <c r="Z49" i="6"/>
  <c r="U40" i="6"/>
  <c r="Y61" i="6"/>
  <c r="Z61" i="6"/>
  <c r="U56" i="6"/>
  <c r="U46" i="6"/>
  <c r="Y31" i="6"/>
  <c r="Z31" i="6"/>
  <c r="Y29" i="6"/>
  <c r="Z29" i="6"/>
  <c r="U54" i="6"/>
  <c r="U36" i="6"/>
  <c r="BF8" i="6"/>
  <c r="BE9" i="6"/>
  <c r="Y28" i="6"/>
  <c r="Z28" i="6"/>
  <c r="Y58" i="6"/>
  <c r="Z58" i="6"/>
  <c r="Y37" i="6"/>
  <c r="Z37" i="6"/>
  <c r="Y54" i="6"/>
  <c r="Z54" i="6"/>
  <c r="U39" i="6"/>
  <c r="U65" i="6"/>
  <c r="Y52" i="6"/>
  <c r="Z52" i="6"/>
  <c r="Y56" i="6"/>
  <c r="Z56" i="6"/>
  <c r="Y24" i="6"/>
  <c r="Z24" i="6"/>
  <c r="BF9" i="6"/>
  <c r="BE10" i="6"/>
  <c r="V55" i="6"/>
  <c r="W55" i="6"/>
  <c r="AI55" i="6"/>
  <c r="V60" i="6"/>
  <c r="W60" i="6"/>
  <c r="AI60" i="6"/>
  <c r="V45" i="6"/>
  <c r="W45" i="6"/>
  <c r="AI45" i="6"/>
  <c r="V59" i="6"/>
  <c r="W59" i="6"/>
  <c r="AI59" i="6"/>
  <c r="V58" i="6"/>
  <c r="W58" i="6"/>
  <c r="AI58" i="6"/>
  <c r="V43" i="6"/>
  <c r="W43" i="6"/>
  <c r="AI43" i="6"/>
  <c r="V57" i="6"/>
  <c r="W57" i="6"/>
  <c r="AI57" i="6"/>
  <c r="V42" i="6"/>
  <c r="W42" i="6"/>
  <c r="AI42" i="6"/>
  <c r="V64" i="6"/>
  <c r="W64" i="6"/>
  <c r="AI64" i="6"/>
  <c r="V52" i="6"/>
  <c r="W52" i="6"/>
  <c r="AI52" i="6"/>
  <c r="V56" i="6"/>
  <c r="W56" i="6"/>
  <c r="AI56" i="6"/>
  <c r="V41" i="6"/>
  <c r="W41" i="6"/>
  <c r="AI41" i="6"/>
  <c r="V62" i="6"/>
  <c r="W62" i="6"/>
  <c r="AI62" i="6"/>
  <c r="V54" i="6"/>
  <c r="W54" i="6"/>
  <c r="AI54" i="6"/>
  <c r="V39" i="6"/>
  <c r="W39" i="6"/>
  <c r="AI39" i="6"/>
  <c r="V53" i="6"/>
  <c r="W53" i="6"/>
  <c r="AI53" i="6"/>
  <c r="V38" i="6"/>
  <c r="W38" i="6"/>
  <c r="AI38" i="6"/>
  <c r="V65" i="6"/>
  <c r="W65" i="6"/>
  <c r="AI65" i="6"/>
  <c r="V44" i="6"/>
  <c r="W44" i="6"/>
  <c r="AI44" i="6"/>
  <c r="V63" i="6"/>
  <c r="W63" i="6"/>
  <c r="AI63" i="6"/>
  <c r="V37" i="6"/>
  <c r="W37" i="6"/>
  <c r="AI37" i="6"/>
  <c r="V48" i="6"/>
  <c r="W48" i="6"/>
  <c r="AI48" i="6"/>
  <c r="V51" i="6"/>
  <c r="W51" i="6"/>
  <c r="AI51" i="6"/>
  <c r="V35" i="6"/>
  <c r="W35" i="6"/>
  <c r="AI35" i="6"/>
  <c r="V50" i="6"/>
  <c r="W50" i="6"/>
  <c r="AI50" i="6"/>
  <c r="V34" i="6"/>
  <c r="W34" i="6"/>
  <c r="AI34" i="6"/>
  <c r="V36" i="6"/>
  <c r="W36" i="6"/>
  <c r="AI36" i="6"/>
  <c r="V49" i="6"/>
  <c r="W49" i="6"/>
  <c r="AI49" i="6"/>
  <c r="V33" i="6"/>
  <c r="W33" i="6"/>
  <c r="AI33" i="6"/>
  <c r="V29" i="6"/>
  <c r="W29" i="6"/>
  <c r="AI29" i="6"/>
  <c r="V25" i="6"/>
  <c r="W25" i="6"/>
  <c r="AI25" i="6"/>
  <c r="V22" i="6"/>
  <c r="W22" i="6"/>
  <c r="V20" i="6"/>
  <c r="W20" i="6"/>
  <c r="V18" i="6"/>
  <c r="W18" i="6"/>
  <c r="V16" i="6"/>
  <c r="W16" i="6"/>
  <c r="V14" i="6"/>
  <c r="W14" i="6"/>
  <c r="V12" i="6"/>
  <c r="W12" i="6"/>
  <c r="V10" i="6"/>
  <c r="W10" i="6"/>
  <c r="V8" i="6"/>
  <c r="W8" i="6"/>
  <c r="V5" i="6"/>
  <c r="W5" i="6"/>
  <c r="V30" i="6"/>
  <c r="W30" i="6"/>
  <c r="AI30" i="6"/>
  <c r="V26" i="6"/>
  <c r="W26" i="6"/>
  <c r="AI26" i="6"/>
  <c r="V31" i="6"/>
  <c r="W31" i="6"/>
  <c r="AI31" i="6"/>
  <c r="V23" i="6"/>
  <c r="W23" i="6"/>
  <c r="V19" i="6"/>
  <c r="W19" i="6"/>
  <c r="V15" i="6"/>
  <c r="W15" i="6"/>
  <c r="V11" i="6"/>
  <c r="W11" i="6"/>
  <c r="V4" i="6"/>
  <c r="W4" i="6"/>
  <c r="V32" i="6"/>
  <c r="W32" i="6"/>
  <c r="AI32" i="6"/>
  <c r="V28" i="6"/>
  <c r="W28" i="6"/>
  <c r="AI28" i="6"/>
  <c r="V24" i="6"/>
  <c r="W24" i="6"/>
  <c r="AI24" i="6"/>
  <c r="V7" i="6"/>
  <c r="W7" i="6"/>
  <c r="V27" i="6"/>
  <c r="W27" i="6"/>
  <c r="AI27" i="6"/>
  <c r="V21" i="6"/>
  <c r="W21" i="6"/>
  <c r="V17" i="6"/>
  <c r="W17" i="6"/>
  <c r="V13" i="6"/>
  <c r="W13" i="6"/>
  <c r="V9" i="6"/>
  <c r="W9" i="6"/>
  <c r="V6" i="6"/>
  <c r="W6" i="6"/>
  <c r="V40" i="6"/>
  <c r="W40" i="6"/>
  <c r="AI40" i="6"/>
  <c r="V47" i="6"/>
  <c r="W47" i="6"/>
  <c r="AI47" i="6"/>
  <c r="V61" i="6"/>
  <c r="W61" i="6"/>
  <c r="AI61" i="6"/>
  <c r="V46" i="6"/>
  <c r="W46" i="6"/>
  <c r="AI46" i="6"/>
  <c r="BE11" i="6"/>
  <c r="BF10" i="6"/>
  <c r="BE12" i="6"/>
  <c r="BF11" i="6"/>
  <c r="BE13" i="6"/>
  <c r="BF12" i="6"/>
  <c r="BE14" i="6"/>
  <c r="BF13" i="6"/>
  <c r="BE15" i="6"/>
  <c r="BF14" i="6"/>
  <c r="BF15" i="6"/>
  <c r="BE16" i="6"/>
  <c r="BE17" i="6"/>
  <c r="BF16" i="6"/>
  <c r="BF17" i="6"/>
  <c r="BE18" i="6"/>
  <c r="BE19" i="6"/>
  <c r="BF18" i="6"/>
  <c r="BE20" i="6"/>
  <c r="BF19" i="6"/>
  <c r="BE21" i="6"/>
  <c r="BF20" i="6"/>
  <c r="BF21" i="6"/>
  <c r="BE22" i="6"/>
  <c r="BE23" i="6"/>
  <c r="BF22" i="6"/>
  <c r="BF23" i="6"/>
  <c r="BE24" i="6"/>
  <c r="BE25" i="6"/>
  <c r="BF24" i="6"/>
  <c r="BF25" i="6"/>
  <c r="BE26" i="6"/>
  <c r="BE27" i="6"/>
  <c r="BF26" i="6"/>
  <c r="BE28" i="6"/>
  <c r="BF27" i="6"/>
  <c r="BE29" i="6"/>
  <c r="BF28" i="6"/>
  <c r="BE30" i="6"/>
  <c r="BF29" i="6"/>
  <c r="BE31" i="6"/>
  <c r="BF30" i="6"/>
  <c r="BF31" i="6"/>
  <c r="BE32" i="6"/>
  <c r="BE33" i="6"/>
  <c r="BF32" i="6"/>
  <c r="BF33" i="6"/>
  <c r="BE34" i="6"/>
  <c r="BE35" i="6"/>
  <c r="BF34" i="6"/>
  <c r="BE36" i="6"/>
  <c r="BF35" i="6"/>
  <c r="BE37" i="6"/>
  <c r="BF36" i="6"/>
  <c r="BF37" i="6"/>
  <c r="BE38" i="6"/>
  <c r="BE39" i="6"/>
  <c r="BF38" i="6"/>
  <c r="BF39" i="6"/>
  <c r="BE40" i="6"/>
  <c r="BE41" i="6"/>
  <c r="BF40" i="6"/>
  <c r="BF41" i="6"/>
  <c r="BE42" i="6"/>
  <c r="BE43" i="6"/>
  <c r="BF42" i="6"/>
  <c r="BE44" i="6"/>
  <c r="BF43" i="6"/>
  <c r="BE45" i="6"/>
  <c r="BF44" i="6"/>
  <c r="BE46" i="6"/>
  <c r="BF45" i="6"/>
  <c r="BE47" i="6"/>
  <c r="BF46" i="6"/>
  <c r="BF47" i="6"/>
  <c r="BE48" i="6"/>
  <c r="BE49" i="6"/>
  <c r="BF48" i="6"/>
  <c r="BF49" i="6"/>
  <c r="BE50" i="6"/>
  <c r="BE51" i="6"/>
  <c r="BF50" i="6"/>
  <c r="BE52" i="6"/>
  <c r="BF51" i="6"/>
  <c r="BE53" i="6"/>
  <c r="BF52" i="6"/>
  <c r="BF53" i="6"/>
  <c r="BE54" i="6"/>
  <c r="BE55" i="6"/>
  <c r="BF54" i="6"/>
  <c r="BF55" i="6"/>
  <c r="BE56" i="6"/>
  <c r="BE57" i="6"/>
  <c r="BF56" i="6"/>
  <c r="BF57" i="6"/>
  <c r="BE58" i="6"/>
  <c r="BE59" i="6"/>
  <c r="BF58" i="6"/>
  <c r="BE60" i="6"/>
  <c r="BF59" i="6"/>
  <c r="BE61" i="6"/>
  <c r="BF60" i="6"/>
  <c r="BE62" i="6"/>
  <c r="BF61" i="6"/>
  <c r="BE63" i="6"/>
  <c r="BF62" i="6"/>
  <c r="BF63" i="6"/>
  <c r="BE64" i="6"/>
  <c r="BE65" i="6"/>
  <c r="BF64" i="6"/>
  <c r="BF65" i="6"/>
  <c r="BE66" i="6"/>
  <c r="BE67" i="6"/>
  <c r="BF66" i="6"/>
  <c r="BF67" i="6"/>
  <c r="BE68" i="6"/>
  <c r="BF68" i="6"/>
  <c r="BE69" i="6"/>
  <c r="BF69" i="6"/>
  <c r="BE70" i="6"/>
  <c r="BE71" i="6"/>
  <c r="BF70" i="6"/>
  <c r="BF71" i="6"/>
  <c r="BE72" i="6"/>
  <c r="BF72" i="6"/>
  <c r="BE73" i="6"/>
  <c r="BF73" i="6"/>
  <c r="BE74" i="6"/>
  <c r="BE75" i="6"/>
  <c r="BF74" i="6"/>
  <c r="BF75" i="6"/>
  <c r="BE76" i="6"/>
  <c r="BF76" i="6"/>
  <c r="BE77" i="6"/>
  <c r="BF77" i="6"/>
  <c r="BE78" i="6"/>
  <c r="BE79" i="6"/>
  <c r="BF78" i="6"/>
  <c r="BF79" i="6"/>
  <c r="BE80" i="6"/>
  <c r="BF80" i="6"/>
  <c r="BE81" i="6"/>
  <c r="BF81" i="6"/>
  <c r="BE82" i="6"/>
  <c r="BE83" i="6"/>
  <c r="BF82" i="6"/>
  <c r="BF83" i="6"/>
  <c r="BE84" i="6"/>
  <c r="BF84" i="6"/>
  <c r="BE85" i="6"/>
  <c r="BF85" i="6"/>
  <c r="BE86" i="6"/>
  <c r="BE87" i="6"/>
  <c r="BF86" i="6"/>
  <c r="BF87" i="6"/>
  <c r="BE88" i="6"/>
  <c r="BF88" i="6"/>
  <c r="BE89" i="6"/>
  <c r="BF89" i="6"/>
  <c r="BE90" i="6"/>
  <c r="BE91" i="6"/>
  <c r="BF90" i="6"/>
  <c r="BF91" i="6"/>
  <c r="BE92" i="6"/>
  <c r="BF92" i="6"/>
  <c r="BE93" i="6"/>
  <c r="BF93" i="6"/>
  <c r="BE94" i="6"/>
  <c r="BE95" i="6"/>
  <c r="BF94" i="6"/>
  <c r="BF95" i="6"/>
  <c r="BE96" i="6"/>
  <c r="BF96" i="6"/>
  <c r="BE97" i="6"/>
  <c r="BF97" i="6"/>
  <c r="BE98" i="6"/>
  <c r="BE99" i="6"/>
  <c r="BF98" i="6"/>
  <c r="BF99" i="6"/>
  <c r="BE100" i="6"/>
  <c r="BF100" i="6"/>
  <c r="BE101" i="6"/>
  <c r="BF101" i="6"/>
  <c r="BE102" i="6"/>
  <c r="BE103" i="6"/>
  <c r="BF102" i="6"/>
  <c r="BF103" i="6"/>
  <c r="BE104" i="6"/>
  <c r="BF104" i="6"/>
  <c r="BE105" i="6"/>
  <c r="BF105" i="6"/>
  <c r="BE106" i="6"/>
  <c r="BE107" i="6"/>
  <c r="BF106" i="6"/>
  <c r="BF107" i="6"/>
  <c r="BE108" i="6"/>
  <c r="BF108" i="6"/>
  <c r="BE109" i="6"/>
  <c r="BF109" i="6"/>
  <c r="BE110" i="6"/>
  <c r="BE111" i="6"/>
  <c r="BF110" i="6"/>
  <c r="BF111" i="6"/>
  <c r="BE112" i="6"/>
  <c r="BF112" i="6"/>
  <c r="BE113" i="6"/>
  <c r="BF113" i="6"/>
  <c r="BE114" i="6"/>
  <c r="BE115" i="6"/>
  <c r="BF114" i="6"/>
  <c r="BF115" i="6"/>
  <c r="BE116" i="6"/>
  <c r="BF116" i="6"/>
  <c r="BE117" i="6"/>
  <c r="BF117" i="6"/>
  <c r="BE118" i="6"/>
  <c r="BE119" i="6"/>
  <c r="BF118" i="6"/>
  <c r="BF119" i="6"/>
  <c r="BE120" i="6"/>
  <c r="BF120" i="6"/>
  <c r="BE121" i="6"/>
  <c r="BF121" i="6"/>
  <c r="BE122" i="6"/>
  <c r="BE123" i="6"/>
  <c r="BF122" i="6"/>
  <c r="BF123" i="6"/>
  <c r="BE124" i="6"/>
  <c r="BF124" i="6"/>
  <c r="BE125" i="6"/>
  <c r="BF125" i="6"/>
  <c r="BE126" i="6"/>
  <c r="BE127" i="6"/>
  <c r="BF126" i="6"/>
  <c r="BF127" i="6"/>
  <c r="BE128" i="6"/>
  <c r="BF128" i="6"/>
  <c r="BE129" i="6"/>
  <c r="BF129" i="6"/>
  <c r="BE130" i="6"/>
  <c r="BE131" i="6"/>
  <c r="BF130" i="6"/>
  <c r="BF131" i="6"/>
  <c r="BE132" i="6"/>
  <c r="BF132" i="6"/>
  <c r="BE133" i="6"/>
  <c r="BF133" i="6"/>
  <c r="BE134" i="6"/>
  <c r="BE135" i="6"/>
  <c r="BF134" i="6"/>
  <c r="BF135" i="6"/>
  <c r="BE136" i="6"/>
  <c r="BF136" i="6"/>
  <c r="BE137" i="6"/>
  <c r="BF137" i="6"/>
  <c r="BE138" i="6"/>
  <c r="BE139" i="6"/>
  <c r="BF138" i="6"/>
  <c r="BF139" i="6"/>
  <c r="BE140" i="6"/>
  <c r="BF140" i="6"/>
  <c r="BE141" i="6"/>
  <c r="BF141" i="6"/>
  <c r="BE142" i="6"/>
  <c r="BE143" i="6"/>
  <c r="BF142" i="6"/>
  <c r="BF143" i="6"/>
  <c r="BE144" i="6"/>
  <c r="BF144" i="6"/>
  <c r="BE145" i="6"/>
  <c r="BF145" i="6"/>
  <c r="BE146" i="6"/>
  <c r="BE147" i="6"/>
  <c r="BF146" i="6"/>
  <c r="BF147" i="6"/>
  <c r="BE148" i="6"/>
  <c r="BF148" i="6"/>
  <c r="BE149" i="6"/>
  <c r="BF149" i="6"/>
  <c r="BE150" i="6"/>
  <c r="BE151" i="6"/>
  <c r="BF150" i="6"/>
  <c r="BF151" i="6"/>
  <c r="BE152" i="6"/>
  <c r="BF152" i="6"/>
  <c r="BE153" i="6"/>
  <c r="BF153" i="6"/>
  <c r="BE154" i="6"/>
  <c r="BE155" i="6"/>
  <c r="BF154" i="6"/>
  <c r="BF155" i="6"/>
  <c r="BE156" i="6"/>
  <c r="BF156" i="6"/>
  <c r="BE157" i="6"/>
  <c r="BF157" i="6"/>
  <c r="BE158" i="6"/>
  <c r="BE159" i="6"/>
  <c r="BF158" i="6"/>
  <c r="BF159" i="6"/>
  <c r="BE160" i="6"/>
  <c r="BF160" i="6"/>
  <c r="BE161" i="6"/>
  <c r="BF161" i="6"/>
  <c r="BE162" i="6"/>
  <c r="BE163" i="6"/>
  <c r="BF162" i="6"/>
  <c r="BF163" i="6"/>
  <c r="BE164" i="6"/>
  <c r="BF164" i="6"/>
  <c r="BE165" i="6"/>
  <c r="BF165" i="6"/>
  <c r="BE166" i="6"/>
  <c r="BE167" i="6"/>
  <c r="BF166" i="6"/>
  <c r="BF167" i="6"/>
  <c r="BE168" i="6"/>
  <c r="BF168" i="6"/>
  <c r="BE169" i="6"/>
  <c r="BF169" i="6"/>
  <c r="BE170" i="6"/>
  <c r="BE171" i="6"/>
  <c r="BF170" i="6"/>
  <c r="BF171" i="6"/>
  <c r="BE172" i="6"/>
  <c r="BF172" i="6"/>
  <c r="BE173" i="6"/>
  <c r="BF173" i="6"/>
  <c r="BE174" i="6"/>
  <c r="BE175" i="6"/>
  <c r="BF174" i="6"/>
  <c r="BF175" i="6"/>
  <c r="BE176" i="6"/>
  <c r="BF176" i="6"/>
  <c r="BE177" i="6"/>
  <c r="BF177" i="6"/>
  <c r="BE178" i="6"/>
  <c r="BE179" i="6"/>
  <c r="BF178" i="6"/>
  <c r="BF179" i="6"/>
  <c r="BE180" i="6"/>
  <c r="BF180" i="6"/>
  <c r="BE181" i="6"/>
  <c r="BF181" i="6"/>
  <c r="BE182" i="6"/>
  <c r="BE183" i="6"/>
  <c r="BF182" i="6"/>
  <c r="BF183" i="6"/>
  <c r="BE184" i="6"/>
  <c r="BF184" i="6"/>
  <c r="BE185" i="6"/>
  <c r="BF185" i="6"/>
  <c r="BE186" i="6"/>
  <c r="BE187" i="6"/>
  <c r="BF186" i="6"/>
  <c r="BF187" i="6"/>
  <c r="BE188" i="6"/>
  <c r="BF188" i="6"/>
  <c r="BE189" i="6"/>
  <c r="BF189" i="6"/>
  <c r="BE190" i="6"/>
  <c r="BE191" i="6"/>
  <c r="BF190" i="6"/>
  <c r="BF191" i="6"/>
  <c r="BE192" i="6"/>
  <c r="BF192" i="6"/>
  <c r="BE193" i="6"/>
  <c r="BF193" i="6"/>
  <c r="BE194" i="6"/>
  <c r="BE195" i="6"/>
  <c r="BF194" i="6"/>
  <c r="BF195" i="6"/>
  <c r="BE196" i="6"/>
  <c r="BF196" i="6"/>
  <c r="BE197" i="6"/>
  <c r="BF197" i="6"/>
  <c r="BE198" i="6"/>
  <c r="BE199" i="6"/>
  <c r="BF198" i="6"/>
  <c r="BF199" i="6"/>
  <c r="BE200" i="6"/>
  <c r="BF200" i="6"/>
  <c r="BE201" i="6"/>
  <c r="BF201" i="6"/>
  <c r="BE202" i="6"/>
  <c r="BE203" i="6"/>
  <c r="BF202" i="6"/>
  <c r="BF203" i="6"/>
  <c r="BE204" i="6"/>
  <c r="BF204" i="6"/>
  <c r="BE205" i="6"/>
  <c r="BF205" i="6"/>
  <c r="BE206" i="6"/>
  <c r="BE207" i="6"/>
  <c r="BF206" i="6"/>
  <c r="BF207" i="6"/>
  <c r="BE208" i="6"/>
  <c r="BF208" i="6"/>
  <c r="BE209" i="6"/>
  <c r="BF209" i="6"/>
  <c r="BE210" i="6"/>
  <c r="BE211" i="6"/>
  <c r="BF210" i="6"/>
  <c r="BF211" i="6"/>
  <c r="BE212" i="6"/>
  <c r="BF212" i="6"/>
  <c r="BE213" i="6"/>
  <c r="BF213" i="6"/>
  <c r="BE214" i="6"/>
  <c r="BE215" i="6"/>
  <c r="BF214" i="6"/>
  <c r="BF215" i="6"/>
  <c r="BE216" i="6"/>
  <c r="BF216" i="6"/>
  <c r="BE217" i="6"/>
  <c r="BF217" i="6"/>
  <c r="BE218" i="6"/>
  <c r="BE219" i="6"/>
  <c r="BF218" i="6"/>
  <c r="BF219" i="6"/>
  <c r="BE220" i="6"/>
  <c r="BF220" i="6"/>
  <c r="BE221" i="6"/>
  <c r="BF221" i="6"/>
  <c r="BE222" i="6"/>
  <c r="BE223" i="6"/>
  <c r="BF222" i="6"/>
  <c r="BF223" i="6"/>
  <c r="BE224" i="6"/>
  <c r="BF224" i="6"/>
  <c r="BE225" i="6"/>
  <c r="BF225" i="6"/>
  <c r="BE226" i="6"/>
  <c r="BE227" i="6"/>
  <c r="BF226" i="6"/>
  <c r="BF227" i="6"/>
  <c r="BE228" i="6"/>
  <c r="BF228" i="6"/>
  <c r="BE229" i="6"/>
  <c r="BF229" i="6"/>
  <c r="BE230" i="6"/>
  <c r="BE231" i="6"/>
  <c r="BF230" i="6"/>
  <c r="BF231" i="6"/>
  <c r="BE232" i="6"/>
  <c r="BF232" i="6"/>
  <c r="BE233" i="6"/>
  <c r="BF233" i="6"/>
  <c r="BE234" i="6"/>
  <c r="BE235" i="6"/>
  <c r="BF234" i="6"/>
  <c r="BE236" i="6"/>
  <c r="BF235" i="6"/>
  <c r="BF236" i="6"/>
  <c r="BE237" i="6"/>
  <c r="BE238" i="6"/>
  <c r="BF237" i="6"/>
  <c r="BF238" i="6"/>
  <c r="BE239" i="6"/>
  <c r="BE240" i="6"/>
  <c r="BF239" i="6"/>
  <c r="BF240" i="6"/>
  <c r="BE241" i="6"/>
  <c r="BE242" i="6"/>
  <c r="BF241" i="6"/>
  <c r="BE243" i="6"/>
  <c r="BF242" i="6"/>
  <c r="BE244" i="6"/>
  <c r="BF243" i="6"/>
  <c r="BF244" i="6"/>
  <c r="BE245" i="6"/>
  <c r="BE246" i="6"/>
  <c r="BF245" i="6"/>
  <c r="BF246" i="6"/>
  <c r="BE247" i="6"/>
  <c r="BE248" i="6"/>
  <c r="BF247" i="6"/>
  <c r="BF248" i="6"/>
  <c r="BE249" i="6"/>
  <c r="BE250" i="6"/>
  <c r="BF249" i="6"/>
  <c r="BE251" i="6"/>
  <c r="BF250" i="6"/>
  <c r="BE252" i="6"/>
  <c r="BF251" i="6"/>
  <c r="BF252" i="6"/>
  <c r="BE253" i="6"/>
  <c r="BE254" i="6"/>
  <c r="BF253" i="6"/>
  <c r="BF254" i="6"/>
  <c r="BE255" i="6"/>
  <c r="BE256" i="6"/>
  <c r="BF255" i="6"/>
  <c r="BF256" i="6"/>
  <c r="BE257" i="6"/>
  <c r="BE258" i="6"/>
  <c r="BF257" i="6"/>
  <c r="BE259" i="6"/>
  <c r="BF258" i="6"/>
  <c r="BE260" i="6"/>
  <c r="BF259" i="6"/>
  <c r="BF260" i="6"/>
  <c r="BE261" i="6"/>
  <c r="BE262" i="6"/>
  <c r="BF261" i="6"/>
  <c r="BF262" i="6"/>
  <c r="BE263" i="6"/>
  <c r="BE264" i="6"/>
  <c r="BF263" i="6"/>
  <c r="BF264" i="6"/>
  <c r="BE265" i="6"/>
  <c r="BE266" i="6"/>
  <c r="BF265" i="6"/>
  <c r="BE267" i="6"/>
  <c r="BF266" i="6"/>
  <c r="BF267" i="6"/>
  <c r="BE268" i="6"/>
  <c r="BE269" i="6"/>
  <c r="BF268" i="6"/>
  <c r="BF269" i="6"/>
  <c r="BE270" i="6"/>
  <c r="BE271" i="6"/>
  <c r="BF270" i="6"/>
  <c r="BF271" i="6"/>
  <c r="BE272" i="6"/>
  <c r="BE273" i="6"/>
  <c r="BF272" i="6"/>
  <c r="BF273" i="6"/>
  <c r="BE274" i="6"/>
  <c r="BE275" i="6"/>
  <c r="BF274" i="6"/>
  <c r="BF275" i="6"/>
  <c r="BE276" i="6"/>
  <c r="BE277" i="6"/>
  <c r="BF276" i="6"/>
  <c r="BF277" i="6"/>
  <c r="BE278" i="6"/>
  <c r="BE279" i="6"/>
  <c r="BF278" i="6"/>
  <c r="BF279" i="6"/>
  <c r="BE280" i="6"/>
  <c r="BE281" i="6"/>
  <c r="BF280" i="6"/>
  <c r="BF281" i="6"/>
  <c r="BE282" i="6"/>
  <c r="BE283" i="6"/>
  <c r="BF282" i="6"/>
  <c r="BF283" i="6"/>
  <c r="BE284" i="6"/>
  <c r="BE285" i="6"/>
  <c r="BF284" i="6"/>
  <c r="BF285" i="6"/>
  <c r="BE286" i="6"/>
  <c r="BE287" i="6"/>
  <c r="BF286" i="6"/>
  <c r="BF287" i="6"/>
  <c r="BE288" i="6"/>
  <c r="BE289" i="6"/>
  <c r="BF288" i="6"/>
  <c r="BF289" i="6"/>
  <c r="BE290" i="6"/>
  <c r="BE291" i="6"/>
  <c r="BF290" i="6"/>
  <c r="BF291" i="6"/>
  <c r="BE292" i="6"/>
  <c r="BE293" i="6"/>
  <c r="BF292" i="6"/>
  <c r="BF293" i="6"/>
  <c r="BE294" i="6"/>
  <c r="BE295" i="6"/>
  <c r="BF294" i="6"/>
  <c r="BF295" i="6"/>
  <c r="BE296" i="6"/>
  <c r="BE297" i="6"/>
  <c r="BF296" i="6"/>
  <c r="BF297" i="6"/>
  <c r="BE298" i="6"/>
  <c r="BE299" i="6"/>
  <c r="BF298" i="6"/>
  <c r="BF299" i="6"/>
  <c r="BE300" i="6"/>
  <c r="BE301" i="6"/>
  <c r="BF300" i="6"/>
  <c r="BF301" i="6"/>
  <c r="BE302" i="6"/>
  <c r="BE303" i="6"/>
  <c r="BF302" i="6"/>
  <c r="BF303" i="6"/>
  <c r="BE304" i="6"/>
  <c r="BE305" i="6"/>
  <c r="BF304" i="6"/>
  <c r="BF305" i="6"/>
  <c r="BE306" i="6"/>
  <c r="BE307" i="6"/>
  <c r="BF306" i="6"/>
  <c r="BF307" i="6"/>
  <c r="BE308" i="6"/>
  <c r="BE309" i="6"/>
  <c r="BF308" i="6"/>
  <c r="BF309" i="6"/>
  <c r="BE310" i="6"/>
  <c r="BE311" i="6"/>
  <c r="BF310" i="6"/>
  <c r="BF311" i="6"/>
  <c r="BE312" i="6"/>
  <c r="BE313" i="6"/>
  <c r="BF312" i="6"/>
  <c r="BF313" i="6"/>
  <c r="BE314" i="6"/>
  <c r="BE315" i="6"/>
  <c r="BF314" i="6"/>
  <c r="BF315" i="6"/>
  <c r="BE316" i="6"/>
  <c r="BE317" i="6"/>
  <c r="BF316" i="6"/>
  <c r="BF317" i="6"/>
  <c r="BE318" i="6"/>
  <c r="BE319" i="6"/>
  <c r="BF318" i="6"/>
  <c r="BF319" i="6"/>
  <c r="BE320" i="6"/>
  <c r="BE321" i="6"/>
  <c r="BF320" i="6"/>
  <c r="BF321" i="6"/>
  <c r="BE322" i="6"/>
  <c r="BE323" i="6"/>
  <c r="BF322" i="6"/>
  <c r="BF323" i="6"/>
  <c r="BE324" i="6"/>
  <c r="BE325" i="6"/>
  <c r="BF324" i="6"/>
  <c r="BF325" i="6"/>
  <c r="BE326" i="6"/>
  <c r="BE327" i="6"/>
  <c r="BF326" i="6"/>
  <c r="BF327" i="6"/>
  <c r="BE328" i="6"/>
  <c r="BE329" i="6"/>
  <c r="BF328" i="6"/>
  <c r="BF329" i="6"/>
  <c r="BE330" i="6"/>
  <c r="BE331" i="6"/>
  <c r="BF330" i="6"/>
  <c r="BF331" i="6"/>
  <c r="BE332" i="6"/>
  <c r="BE333" i="6"/>
  <c r="BF332" i="6"/>
  <c r="BF333" i="6"/>
  <c r="BE334" i="6"/>
  <c r="BE335" i="6"/>
  <c r="BF334" i="6"/>
  <c r="BF335" i="6"/>
  <c r="BE336" i="6"/>
  <c r="BE337" i="6"/>
  <c r="BF336" i="6"/>
  <c r="BF337" i="6"/>
  <c r="BE338" i="6"/>
  <c r="BE339" i="6"/>
  <c r="BF338" i="6"/>
  <c r="BF339" i="6"/>
  <c r="BE340" i="6"/>
  <c r="BE341" i="6"/>
  <c r="BF340" i="6"/>
  <c r="BF341" i="6"/>
  <c r="BE342" i="6"/>
  <c r="BE343" i="6"/>
  <c r="BF342" i="6"/>
  <c r="BF343" i="6"/>
  <c r="BE344" i="6"/>
  <c r="BE345" i="6"/>
  <c r="BF344" i="6"/>
  <c r="BF345" i="6"/>
  <c r="BE346" i="6"/>
  <c r="BE347" i="6"/>
  <c r="BF346" i="6"/>
  <c r="BF347" i="6"/>
  <c r="BE348" i="6"/>
  <c r="BE349" i="6"/>
  <c r="BF348" i="6"/>
  <c r="BF349" i="6"/>
  <c r="BE350" i="6"/>
  <c r="BE351" i="6"/>
  <c r="BF350" i="6"/>
  <c r="BF351" i="6"/>
  <c r="BE352" i="6"/>
  <c r="BE353" i="6"/>
  <c r="BF352" i="6"/>
  <c r="BF353" i="6"/>
  <c r="BE354" i="6"/>
  <c r="BE355" i="6"/>
  <c r="BF354" i="6"/>
  <c r="BF355" i="6"/>
  <c r="BE356" i="6"/>
  <c r="BE357" i="6"/>
  <c r="BF356" i="6"/>
  <c r="BF357" i="6"/>
  <c r="BE358" i="6"/>
  <c r="BE359" i="6"/>
  <c r="BF358" i="6"/>
  <c r="BF359" i="6"/>
  <c r="BE360" i="6"/>
  <c r="BE361" i="6"/>
  <c r="BF360" i="6"/>
  <c r="BF361" i="6"/>
  <c r="BE362" i="6"/>
  <c r="BE363" i="6"/>
  <c r="BF362" i="6"/>
  <c r="BF363" i="6"/>
  <c r="BE364" i="6"/>
  <c r="BE365" i="6"/>
  <c r="BF364" i="6"/>
  <c r="BF365" i="6"/>
  <c r="BE366" i="6"/>
  <c r="BE367" i="6"/>
  <c r="BF366" i="6"/>
  <c r="BF367" i="6"/>
  <c r="BE368" i="6"/>
  <c r="BE369" i="6"/>
  <c r="BF368" i="6"/>
  <c r="BF369" i="6"/>
  <c r="BE370" i="6"/>
  <c r="BE371" i="6"/>
  <c r="BF370" i="6"/>
  <c r="BF371" i="6"/>
  <c r="BE372" i="6"/>
  <c r="BE373" i="6"/>
  <c r="BF372" i="6"/>
  <c r="BF373" i="6"/>
  <c r="BE374" i="6"/>
  <c r="BE375" i="6"/>
  <c r="BF374" i="6"/>
  <c r="BF375" i="6"/>
  <c r="BE376" i="6"/>
  <c r="BE377" i="6"/>
  <c r="BF376" i="6"/>
  <c r="BF377" i="6"/>
  <c r="BE378" i="6"/>
  <c r="BE379" i="6"/>
  <c r="BF378" i="6"/>
  <c r="BF379" i="6"/>
  <c r="BE380" i="6"/>
  <c r="BE381" i="6"/>
  <c r="BF380" i="6"/>
  <c r="BF381" i="6"/>
  <c r="BE382" i="6"/>
  <c r="BE383" i="6"/>
  <c r="BF382" i="6"/>
  <c r="BF383" i="6"/>
  <c r="BE384" i="6"/>
  <c r="BE385" i="6"/>
  <c r="BF384" i="6"/>
  <c r="BF385" i="6"/>
  <c r="BE386" i="6"/>
  <c r="BE387" i="6"/>
  <c r="BF386" i="6"/>
  <c r="BF387" i="6"/>
  <c r="BE388" i="6"/>
  <c r="BE389" i="6"/>
  <c r="BF388" i="6"/>
  <c r="BF389" i="6"/>
  <c r="BE390" i="6"/>
  <c r="BE391" i="6"/>
  <c r="BF390" i="6"/>
  <c r="BF391" i="6"/>
  <c r="BE392" i="6"/>
  <c r="BE393" i="6"/>
  <c r="BF392" i="6"/>
  <c r="BF393" i="6"/>
  <c r="BE394" i="6"/>
  <c r="BE395" i="6"/>
  <c r="BF394" i="6"/>
  <c r="BF395" i="6"/>
  <c r="BE396" i="6"/>
  <c r="BE397" i="6"/>
  <c r="BF396" i="6"/>
  <c r="BF397" i="6"/>
  <c r="BE398" i="6"/>
  <c r="BE399" i="6"/>
  <c r="BF398" i="6"/>
  <c r="BF399" i="6"/>
  <c r="BE400" i="6"/>
  <c r="BE401" i="6"/>
  <c r="BF400" i="6"/>
  <c r="BF401" i="6"/>
  <c r="BE402" i="6"/>
  <c r="BE403" i="6"/>
  <c r="BF402" i="6"/>
  <c r="BF403" i="6"/>
  <c r="BE404" i="6"/>
  <c r="BE405" i="6"/>
  <c r="BF404" i="6"/>
  <c r="BF405" i="6"/>
  <c r="BE406" i="6"/>
  <c r="BE407" i="6"/>
  <c r="BF406" i="6"/>
  <c r="BF407" i="6"/>
  <c r="BE408" i="6"/>
  <c r="BE409" i="6"/>
  <c r="BF408" i="6"/>
  <c r="BF409" i="6"/>
  <c r="BE410" i="6"/>
  <c r="BE411" i="6"/>
  <c r="BF410" i="6"/>
  <c r="BF411" i="6"/>
  <c r="BE412" i="6"/>
  <c r="BE413" i="6"/>
  <c r="BF412" i="6"/>
  <c r="BF413" i="6"/>
  <c r="BE414" i="6"/>
  <c r="BE415" i="6"/>
  <c r="BF414" i="6"/>
  <c r="BF415" i="6"/>
  <c r="BE416" i="6"/>
  <c r="BE417" i="6"/>
  <c r="BF416" i="6"/>
  <c r="BF417" i="6"/>
  <c r="BE418" i="6"/>
  <c r="BE419" i="6"/>
  <c r="BF418" i="6"/>
  <c r="BF419" i="6"/>
  <c r="BE420" i="6"/>
  <c r="BE421" i="6"/>
  <c r="BF420" i="6"/>
  <c r="BF421" i="6"/>
  <c r="BE422" i="6"/>
  <c r="BE423" i="6"/>
  <c r="BF422" i="6"/>
  <c r="BF423" i="6"/>
  <c r="BE424" i="6"/>
  <c r="BE425" i="6"/>
  <c r="BF424" i="6"/>
  <c r="BF425" i="6"/>
  <c r="BE426" i="6"/>
  <c r="BE427" i="6"/>
  <c r="BF426" i="6"/>
  <c r="BF427" i="6"/>
  <c r="BE428" i="6"/>
  <c r="BE429" i="6"/>
  <c r="BF428" i="6"/>
  <c r="BF429" i="6"/>
  <c r="BE430" i="6"/>
  <c r="BE431" i="6"/>
  <c r="BF430" i="6"/>
  <c r="BF431" i="6"/>
  <c r="BE432" i="6"/>
  <c r="BE433" i="6"/>
  <c r="BF432" i="6"/>
  <c r="BF433" i="6"/>
  <c r="BE434" i="6"/>
  <c r="BE435" i="6"/>
  <c r="BF434" i="6"/>
  <c r="BF435" i="6"/>
  <c r="BE436" i="6"/>
  <c r="BE437" i="6"/>
  <c r="BF436" i="6"/>
  <c r="BF437" i="6"/>
  <c r="BE438" i="6"/>
  <c r="BE439" i="6"/>
  <c r="BF438" i="6"/>
  <c r="BF439" i="6"/>
  <c r="BE440" i="6"/>
  <c r="BE441" i="6"/>
  <c r="BF440" i="6"/>
  <c r="BF441" i="6"/>
  <c r="BE442" i="6"/>
  <c r="BE443" i="6"/>
  <c r="BF442" i="6"/>
  <c r="BF443" i="6"/>
  <c r="BE444" i="6"/>
  <c r="BE445" i="6"/>
  <c r="BF444" i="6"/>
  <c r="BF445" i="6"/>
  <c r="BE446" i="6"/>
  <c r="BE447" i="6"/>
  <c r="BF446" i="6"/>
  <c r="BF447" i="6"/>
  <c r="BE448" i="6"/>
  <c r="BE449" i="6"/>
  <c r="BF448" i="6"/>
  <c r="BF449" i="6"/>
  <c r="BE450" i="6"/>
  <c r="BE451" i="6"/>
  <c r="BF450" i="6"/>
  <c r="BF451" i="6"/>
  <c r="BE452" i="6"/>
  <c r="BE453" i="6"/>
  <c r="BF452" i="6"/>
  <c r="BF453" i="6"/>
  <c r="BE454" i="6"/>
  <c r="BE455" i="6"/>
  <c r="BF454" i="6"/>
  <c r="BF455" i="6"/>
  <c r="BE456" i="6"/>
  <c r="BE457" i="6"/>
  <c r="BF456" i="6"/>
  <c r="BF457" i="6"/>
  <c r="BE458" i="6"/>
  <c r="BE459" i="6"/>
  <c r="BF458" i="6"/>
  <c r="BF459" i="6"/>
  <c r="BE460" i="6"/>
  <c r="BE461" i="6"/>
  <c r="BF460" i="6"/>
  <c r="BF461" i="6"/>
  <c r="BE462" i="6"/>
  <c r="BE463" i="6"/>
  <c r="BF462" i="6"/>
  <c r="BF463" i="6"/>
  <c r="BE464" i="6"/>
  <c r="BE465" i="6"/>
  <c r="BF464" i="6"/>
  <c r="BF465" i="6"/>
  <c r="BE466" i="6"/>
  <c r="BE467" i="6"/>
  <c r="BF466" i="6"/>
  <c r="BF467" i="6"/>
  <c r="BE468" i="6"/>
  <c r="BE469" i="6"/>
  <c r="BF468" i="6"/>
  <c r="BF469" i="6"/>
  <c r="BE470" i="6"/>
  <c r="BE471" i="6"/>
  <c r="BF470" i="6"/>
  <c r="BF471" i="6"/>
  <c r="BE472" i="6"/>
  <c r="BE473" i="6"/>
  <c r="BF472" i="6"/>
  <c r="BF473" i="6"/>
  <c r="BE474" i="6"/>
  <c r="BE475" i="6"/>
  <c r="BF474" i="6"/>
  <c r="BF475" i="6"/>
  <c r="BE476" i="6"/>
  <c r="BE477" i="6"/>
  <c r="BF476" i="6"/>
  <c r="BF477" i="6"/>
  <c r="BE478" i="6"/>
  <c r="BE479" i="6"/>
  <c r="BF478" i="6"/>
  <c r="BF479" i="6"/>
  <c r="BE480" i="6"/>
  <c r="BE481" i="6"/>
  <c r="BF480" i="6"/>
  <c r="BF481" i="6"/>
  <c r="BE482" i="6"/>
  <c r="BE483" i="6"/>
  <c r="BF482" i="6"/>
  <c r="BF483" i="6"/>
  <c r="BE484" i="6"/>
  <c r="BE485" i="6"/>
  <c r="BF484" i="6"/>
  <c r="BF485" i="6"/>
  <c r="BE486" i="6"/>
  <c r="BE487" i="6"/>
  <c r="BF486" i="6"/>
  <c r="BF487" i="6"/>
  <c r="BE488" i="6"/>
  <c r="BE489" i="6"/>
  <c r="BF488" i="6"/>
  <c r="BF489" i="6"/>
  <c r="BE490" i="6"/>
  <c r="BE491" i="6"/>
  <c r="BF490" i="6"/>
  <c r="BF491" i="6"/>
  <c r="BE492" i="6"/>
  <c r="BE493" i="6"/>
  <c r="BF492" i="6"/>
  <c r="BF493" i="6"/>
  <c r="BE494" i="6"/>
  <c r="BE495" i="6"/>
  <c r="BF494" i="6"/>
  <c r="BF495" i="6"/>
  <c r="BE496" i="6"/>
  <c r="BE497" i="6"/>
  <c r="BF496" i="6"/>
  <c r="BF497" i="6"/>
  <c r="BE498" i="6"/>
  <c r="BE499" i="6"/>
  <c r="BF498" i="6"/>
  <c r="BF499" i="6"/>
  <c r="BE500" i="6"/>
  <c r="BE501" i="6"/>
  <c r="BF500" i="6"/>
  <c r="BF501" i="6"/>
  <c r="BE502" i="6"/>
  <c r="BE503" i="6"/>
  <c r="BF502" i="6"/>
  <c r="BF503" i="6"/>
  <c r="BE504" i="6"/>
  <c r="BE505" i="6"/>
  <c r="BF504" i="6"/>
  <c r="BF505" i="6"/>
  <c r="BE506" i="6"/>
  <c r="BE507" i="6"/>
  <c r="BF506" i="6"/>
  <c r="BF507" i="6"/>
  <c r="BE508" i="6"/>
  <c r="BE509" i="6"/>
  <c r="BF508" i="6"/>
  <c r="BF509" i="6"/>
  <c r="BE510" i="6"/>
  <c r="BE511" i="6"/>
  <c r="BF510" i="6"/>
  <c r="BF511" i="6"/>
  <c r="BE512" i="6"/>
  <c r="BE513" i="6"/>
  <c r="BF512" i="6"/>
  <c r="BF513" i="6"/>
  <c r="BE514" i="6"/>
  <c r="BE515" i="6"/>
  <c r="BF514" i="6"/>
  <c r="BF515" i="6"/>
  <c r="BE516" i="6"/>
  <c r="BE517" i="6"/>
  <c r="BF516" i="6"/>
  <c r="BF517" i="6"/>
  <c r="BE518" i="6"/>
  <c r="BE519" i="6"/>
  <c r="BF518" i="6"/>
  <c r="BF519" i="6"/>
  <c r="BE520" i="6"/>
  <c r="BE521" i="6"/>
  <c r="BF520" i="6"/>
  <c r="BF521" i="6"/>
  <c r="BE522" i="6"/>
  <c r="BE523" i="6"/>
  <c r="BF522" i="6"/>
  <c r="BF523" i="6"/>
  <c r="BE524" i="6"/>
  <c r="BE525" i="6"/>
  <c r="BF524" i="6"/>
  <c r="BF525" i="6"/>
  <c r="BE526" i="6"/>
  <c r="BE527" i="6"/>
  <c r="BF526" i="6"/>
  <c r="BF527" i="6"/>
  <c r="BE528" i="6"/>
  <c r="BE529" i="6"/>
  <c r="BF528" i="6"/>
  <c r="BF529" i="6"/>
  <c r="BE530" i="6"/>
  <c r="BE531" i="6"/>
  <c r="BF530" i="6"/>
  <c r="BF531" i="6"/>
  <c r="BE532" i="6"/>
  <c r="BE533" i="6"/>
  <c r="BF532" i="6"/>
  <c r="BF533" i="6"/>
  <c r="BE534" i="6"/>
  <c r="BE535" i="6"/>
  <c r="BF534" i="6"/>
  <c r="BF535" i="6"/>
  <c r="BE536" i="6"/>
  <c r="BE537" i="6"/>
  <c r="BF536" i="6"/>
  <c r="BF537" i="6"/>
  <c r="BE538" i="6"/>
  <c r="BE539" i="6"/>
  <c r="BF538" i="6"/>
  <c r="BF539" i="6"/>
  <c r="BE540" i="6"/>
  <c r="BE541" i="6"/>
  <c r="BF540" i="6"/>
  <c r="BF541" i="6"/>
  <c r="BE542" i="6"/>
  <c r="BE543" i="6"/>
  <c r="BF542" i="6"/>
  <c r="BF543" i="6"/>
  <c r="BE544" i="6"/>
  <c r="BE545" i="6"/>
  <c r="BF544" i="6"/>
  <c r="BF545" i="6"/>
  <c r="BE546" i="6"/>
  <c r="BE547" i="6"/>
  <c r="BF546" i="6"/>
  <c r="BF547" i="6"/>
  <c r="BE548" i="6"/>
  <c r="BE549" i="6"/>
  <c r="BF548" i="6"/>
  <c r="BF549" i="6"/>
  <c r="BE550" i="6"/>
  <c r="BE551" i="6"/>
  <c r="BF550" i="6"/>
  <c r="BF551" i="6"/>
  <c r="BE552" i="6"/>
  <c r="BE553" i="6"/>
  <c r="BF552" i="6"/>
  <c r="BF553" i="6"/>
  <c r="BE554" i="6"/>
  <c r="BF554" i="6"/>
  <c r="BE555" i="6"/>
  <c r="BF555" i="6"/>
  <c r="BE556" i="6"/>
  <c r="BF556" i="6"/>
  <c r="BE557" i="6"/>
  <c r="BF557" i="6"/>
  <c r="BE558" i="6"/>
  <c r="BF558" i="6"/>
  <c r="BE559" i="6"/>
  <c r="BF559" i="6"/>
  <c r="BE560" i="6"/>
  <c r="BE561" i="6"/>
  <c r="BF560" i="6"/>
  <c r="BF561" i="6"/>
  <c r="BE562" i="6"/>
  <c r="BF562" i="6"/>
  <c r="BE563" i="6"/>
  <c r="BF563" i="6"/>
  <c r="BE564" i="6"/>
  <c r="BF564" i="6"/>
  <c r="BE565" i="6"/>
  <c r="BF565" i="6"/>
  <c r="BE566" i="6"/>
  <c r="BF566" i="6"/>
  <c r="BE567" i="6"/>
  <c r="BF567" i="6"/>
  <c r="BE568" i="6"/>
  <c r="BE569" i="6"/>
  <c r="BF568" i="6"/>
  <c r="BF569" i="6"/>
  <c r="BE570" i="6"/>
  <c r="BF570" i="6"/>
  <c r="BE571" i="6"/>
  <c r="BF571" i="6"/>
  <c r="BE572" i="6"/>
  <c r="BF572" i="6"/>
  <c r="BE573" i="6"/>
  <c r="BF573" i="6"/>
  <c r="BE574" i="6"/>
  <c r="BF574" i="6"/>
  <c r="BE575" i="6"/>
  <c r="BF575" i="6"/>
  <c r="BE576" i="6"/>
  <c r="BE577" i="6"/>
  <c r="BF576" i="6"/>
  <c r="BF577" i="6"/>
  <c r="BE578" i="6"/>
  <c r="BF578" i="6"/>
  <c r="BE579" i="6"/>
  <c r="BF579" i="6"/>
  <c r="BE580" i="6"/>
  <c r="BF580" i="6"/>
  <c r="BE581" i="6"/>
  <c r="BF581" i="6"/>
  <c r="BE582" i="6"/>
  <c r="BF582" i="6"/>
  <c r="BE583" i="6"/>
  <c r="BF583" i="6"/>
  <c r="BE584" i="6"/>
  <c r="BE585" i="6"/>
  <c r="BF584" i="6"/>
  <c r="BF585" i="6"/>
  <c r="BE586" i="6"/>
  <c r="BF586" i="6"/>
  <c r="BE587" i="6"/>
  <c r="BF587" i="6"/>
  <c r="BE588" i="6"/>
  <c r="BF588" i="6"/>
  <c r="BE589" i="6"/>
  <c r="BF589" i="6"/>
  <c r="BE590" i="6"/>
  <c r="BF590" i="6"/>
  <c r="BE591" i="6"/>
  <c r="BF591" i="6"/>
  <c r="BE592" i="6"/>
  <c r="BE593" i="6"/>
  <c r="BF592" i="6"/>
  <c r="BF593" i="6"/>
  <c r="BE594" i="6"/>
  <c r="BF594" i="6"/>
  <c r="BE595" i="6"/>
  <c r="BF595" i="6"/>
  <c r="BE596" i="6"/>
  <c r="BF596" i="6"/>
  <c r="BE597" i="6"/>
  <c r="BF597" i="6"/>
  <c r="BE598" i="6"/>
  <c r="BF598" i="6"/>
  <c r="BE599" i="6"/>
  <c r="BF599" i="6"/>
  <c r="BE600" i="6"/>
  <c r="BE601" i="6"/>
  <c r="BF600" i="6"/>
  <c r="BF601" i="6"/>
  <c r="BE602" i="6"/>
  <c r="BF602" i="6"/>
  <c r="BE603" i="6"/>
  <c r="BF603" i="6"/>
  <c r="BE604" i="6"/>
  <c r="BF604" i="6"/>
  <c r="BE605" i="6"/>
  <c r="BF605" i="6"/>
  <c r="BE606" i="6"/>
  <c r="BF606" i="6"/>
  <c r="BE607" i="6"/>
  <c r="BF607" i="6"/>
  <c r="BE608" i="6"/>
  <c r="BE609" i="6"/>
  <c r="BF608" i="6"/>
  <c r="BF609" i="6"/>
  <c r="BE610" i="6"/>
  <c r="BF610" i="6"/>
  <c r="BE611" i="6"/>
  <c r="BF611" i="6"/>
  <c r="BE612" i="6"/>
  <c r="BF612" i="6"/>
  <c r="BE613" i="6"/>
  <c r="BF613" i="6"/>
  <c r="BE614" i="6"/>
  <c r="BF614" i="6"/>
  <c r="BE615" i="6"/>
  <c r="BF615" i="6"/>
  <c r="BE616" i="6"/>
  <c r="BE617" i="6"/>
  <c r="BF616" i="6"/>
  <c r="BF617" i="6"/>
  <c r="BE618" i="6"/>
  <c r="BF618" i="6"/>
  <c r="BE619" i="6"/>
  <c r="BF619" i="6"/>
  <c r="BE620" i="6"/>
  <c r="BF620" i="6"/>
  <c r="BE621" i="6"/>
  <c r="BF621" i="6"/>
  <c r="BE622" i="6"/>
  <c r="BF622" i="6"/>
  <c r="BE623" i="6"/>
  <c r="BF623" i="6"/>
  <c r="BE624" i="6"/>
  <c r="BE625" i="6"/>
  <c r="BF624" i="6"/>
  <c r="BF625" i="6"/>
  <c r="BE626" i="6"/>
  <c r="BF626" i="6"/>
  <c r="BE627" i="6"/>
  <c r="BF627" i="6"/>
  <c r="BE628" i="6"/>
  <c r="BF628" i="6"/>
  <c r="BE629" i="6"/>
  <c r="BF629" i="6"/>
  <c r="BE630" i="6"/>
  <c r="BF630" i="6"/>
  <c r="BE631" i="6"/>
  <c r="BF631" i="6"/>
  <c r="BE632" i="6"/>
  <c r="BE633" i="6"/>
  <c r="BF632" i="6"/>
  <c r="BF633" i="6"/>
  <c r="BE634" i="6"/>
  <c r="BE635" i="6"/>
  <c r="BF634" i="6"/>
  <c r="BF635" i="6"/>
  <c r="BE636" i="6"/>
  <c r="BF636" i="6"/>
  <c r="BE637" i="6"/>
  <c r="BF637" i="6"/>
  <c r="BE638" i="6"/>
  <c r="BF638" i="6"/>
  <c r="BE639" i="6"/>
  <c r="BF639" i="6"/>
  <c r="BE640" i="6"/>
  <c r="BE641" i="6"/>
  <c r="BF640" i="6"/>
  <c r="BF641" i="6"/>
  <c r="BE642" i="6"/>
  <c r="BF642" i="6"/>
  <c r="BE643" i="6"/>
  <c r="BF643" i="6"/>
  <c r="BE644" i="6"/>
  <c r="BF644" i="6"/>
  <c r="BE645" i="6"/>
  <c r="BF645" i="6"/>
  <c r="BE646" i="6"/>
  <c r="BF646" i="6"/>
  <c r="BE647" i="6"/>
  <c r="BF647" i="6"/>
  <c r="BE648" i="6"/>
  <c r="BE649" i="6"/>
  <c r="BF648" i="6"/>
  <c r="BF649" i="6"/>
  <c r="BE650" i="6"/>
  <c r="BF650" i="6"/>
  <c r="BE651" i="6"/>
  <c r="BF651" i="6"/>
  <c r="BE652" i="6"/>
  <c r="BF652" i="6"/>
  <c r="BE653" i="6"/>
  <c r="BF653" i="6"/>
  <c r="BE654" i="6"/>
  <c r="BF654" i="6"/>
  <c r="BE655" i="6"/>
  <c r="BF655" i="6"/>
  <c r="BE656" i="6"/>
  <c r="BE657" i="6"/>
  <c r="BF656" i="6"/>
  <c r="BF657" i="6"/>
  <c r="BE658" i="6"/>
  <c r="BF658" i="6"/>
  <c r="BE659" i="6"/>
  <c r="BF659" i="6"/>
  <c r="BE660" i="6"/>
  <c r="BF660" i="6"/>
  <c r="BE661" i="6"/>
  <c r="BF661" i="6"/>
  <c r="BE662" i="6"/>
  <c r="BF662" i="6"/>
  <c r="BE663" i="6"/>
  <c r="BF663" i="6"/>
  <c r="BE664" i="6"/>
  <c r="BE665" i="6"/>
  <c r="BF664" i="6"/>
  <c r="BF665" i="6"/>
  <c r="BE666" i="6"/>
  <c r="BE667" i="6"/>
  <c r="BF666" i="6"/>
  <c r="BF667" i="6"/>
  <c r="BE668" i="6"/>
  <c r="BF668" i="6"/>
  <c r="BE669" i="6"/>
  <c r="BF669" i="6"/>
  <c r="BE670" i="6"/>
  <c r="BF670" i="6"/>
  <c r="BE671" i="6"/>
  <c r="BF671" i="6"/>
  <c r="BE672" i="6"/>
  <c r="BE673" i="6"/>
  <c r="BF672" i="6"/>
  <c r="BF673" i="6"/>
  <c r="BE674" i="6"/>
  <c r="BF674" i="6"/>
  <c r="BE675" i="6"/>
  <c r="BF675" i="6"/>
  <c r="BE676" i="6"/>
  <c r="BF676" i="6"/>
  <c r="BE677" i="6"/>
  <c r="BF677" i="6"/>
  <c r="BE678" i="6"/>
  <c r="BF678" i="6"/>
  <c r="BE679" i="6"/>
  <c r="BF679" i="6"/>
  <c r="BE680" i="6"/>
  <c r="BE681" i="6"/>
  <c r="BF680" i="6"/>
  <c r="BF681" i="6"/>
  <c r="BE682" i="6"/>
  <c r="BF682" i="6"/>
  <c r="BE683" i="6"/>
  <c r="BF683" i="6"/>
  <c r="BE684" i="6"/>
  <c r="BF684" i="6"/>
  <c r="BE685" i="6"/>
  <c r="BF685" i="6"/>
  <c r="BE686" i="6"/>
  <c r="BF686" i="6"/>
  <c r="BE687" i="6"/>
  <c r="BF687" i="6"/>
  <c r="BE688" i="6"/>
  <c r="BE689" i="6"/>
  <c r="BF688" i="6"/>
  <c r="BF689" i="6"/>
  <c r="BE690" i="6"/>
  <c r="BF690" i="6"/>
  <c r="BE691" i="6"/>
  <c r="BF691" i="6"/>
  <c r="BE692" i="6"/>
  <c r="BF692" i="6"/>
  <c r="BE693" i="6"/>
  <c r="BF693" i="6"/>
  <c r="BE694" i="6"/>
  <c r="BF694" i="6"/>
  <c r="BE695" i="6"/>
  <c r="BF695" i="6"/>
  <c r="BE696" i="6"/>
  <c r="BE697" i="6"/>
  <c r="BF696" i="6"/>
  <c r="BF697" i="6"/>
  <c r="BE698" i="6"/>
  <c r="BF698" i="6"/>
  <c r="BE699" i="6"/>
  <c r="BF699" i="6"/>
  <c r="BE700" i="6"/>
  <c r="BF700" i="6"/>
  <c r="BE701" i="6"/>
  <c r="BF701" i="6"/>
  <c r="BE702" i="6"/>
  <c r="BF702" i="6"/>
  <c r="BE703" i="6"/>
  <c r="BF703" i="6"/>
  <c r="BE704" i="6"/>
  <c r="BE705" i="6"/>
  <c r="BF704" i="6"/>
  <c r="BF705" i="6"/>
  <c r="BE706" i="6"/>
  <c r="BF706" i="6"/>
  <c r="BE707" i="6"/>
  <c r="BF707" i="6"/>
  <c r="BE708" i="6"/>
  <c r="BF708" i="6"/>
  <c r="BE709" i="6"/>
  <c r="BF709" i="6"/>
  <c r="BE710" i="6"/>
  <c r="BF710" i="6"/>
  <c r="BE711" i="6"/>
  <c r="BF711" i="6"/>
  <c r="BE712" i="6"/>
  <c r="BE713" i="6"/>
  <c r="BF712" i="6"/>
  <c r="BF713" i="6"/>
  <c r="BE714" i="6"/>
  <c r="BF714" i="6"/>
  <c r="BE715" i="6"/>
  <c r="BF715" i="6"/>
  <c r="BE716" i="6"/>
  <c r="BF716" i="6"/>
  <c r="BE717" i="6"/>
  <c r="BF717" i="6"/>
  <c r="BE718" i="6"/>
  <c r="BF718" i="6"/>
  <c r="BE719" i="6"/>
  <c r="BF719" i="6"/>
  <c r="BE720" i="6"/>
  <c r="BE721" i="6"/>
  <c r="BF720" i="6"/>
  <c r="BF721" i="6"/>
  <c r="BE722" i="6"/>
  <c r="BF722" i="6"/>
  <c r="BE723" i="6"/>
  <c r="BF723" i="6"/>
  <c r="BE724" i="6"/>
  <c r="BF724" i="6"/>
  <c r="BE725" i="6"/>
  <c r="BF725" i="6"/>
  <c r="BE726" i="6"/>
  <c r="BF726" i="6"/>
  <c r="BE727" i="6"/>
  <c r="BF727" i="6"/>
  <c r="BE728" i="6"/>
  <c r="BE729" i="6"/>
  <c r="BF728" i="6"/>
  <c r="BF729" i="6"/>
  <c r="BE730" i="6"/>
  <c r="BF730" i="6"/>
  <c r="BE731" i="6"/>
  <c r="BF731" i="6"/>
  <c r="BE732" i="6"/>
  <c r="BF732" i="6"/>
  <c r="BE733" i="6"/>
  <c r="BF733" i="6"/>
  <c r="BE734" i="6"/>
  <c r="BF734" i="6"/>
  <c r="BE735" i="6"/>
  <c r="BF735" i="6"/>
  <c r="BE736" i="6"/>
  <c r="BE737" i="6"/>
  <c r="BF736" i="6"/>
  <c r="BF737" i="6"/>
  <c r="BE738" i="6"/>
  <c r="BF738" i="6"/>
  <c r="BE739" i="6"/>
  <c r="BF739" i="6"/>
  <c r="BE740" i="6"/>
  <c r="BF740" i="6"/>
  <c r="BE741" i="6"/>
  <c r="BF741" i="6"/>
  <c r="BE742" i="6"/>
  <c r="BF742" i="6"/>
  <c r="BE743" i="6"/>
  <c r="BF743" i="6"/>
  <c r="BE744" i="6"/>
  <c r="BE745" i="6"/>
  <c r="BF744" i="6"/>
  <c r="BF745" i="6"/>
  <c r="BE746" i="6"/>
  <c r="BE747" i="6"/>
  <c r="BF746" i="6"/>
  <c r="BF747" i="6"/>
  <c r="BE748" i="6"/>
  <c r="BE749" i="6"/>
  <c r="BF748" i="6"/>
  <c r="BF749" i="6"/>
  <c r="BE750" i="6"/>
  <c r="BE751" i="6"/>
  <c r="BF750" i="6"/>
  <c r="BF751" i="6"/>
  <c r="BE752" i="6"/>
  <c r="BE753" i="6"/>
  <c r="BF752" i="6"/>
  <c r="BF753" i="6"/>
  <c r="BE754" i="6"/>
  <c r="BE755" i="6"/>
  <c r="BF754" i="6"/>
  <c r="BF755" i="6"/>
  <c r="BE756" i="6"/>
  <c r="BE757" i="6"/>
  <c r="BF756" i="6"/>
  <c r="BF757" i="6"/>
  <c r="BE758" i="6"/>
  <c r="BE759" i="6"/>
  <c r="BF758" i="6"/>
  <c r="BF759" i="6"/>
  <c r="BE760" i="6"/>
  <c r="BE761" i="6"/>
  <c r="BF760" i="6"/>
  <c r="BF761" i="6"/>
  <c r="BE762" i="6"/>
  <c r="BE763" i="6"/>
  <c r="BF762" i="6"/>
  <c r="BF763" i="6"/>
  <c r="BE764" i="6"/>
  <c r="BE765" i="6"/>
  <c r="BF764" i="6"/>
  <c r="BF765" i="6"/>
  <c r="BE766" i="6"/>
  <c r="BE767" i="6"/>
  <c r="BF766" i="6"/>
  <c r="BF767" i="6"/>
  <c r="BE768" i="6"/>
  <c r="BE769" i="6"/>
  <c r="BF768" i="6"/>
  <c r="BF769" i="6"/>
  <c r="BE770" i="6"/>
  <c r="BE771" i="6"/>
  <c r="BF770" i="6"/>
  <c r="BF771" i="6"/>
  <c r="BE772" i="6"/>
  <c r="BE773" i="6"/>
  <c r="BF772" i="6"/>
  <c r="BF773" i="6"/>
  <c r="BE774" i="6"/>
  <c r="BE775" i="6"/>
  <c r="BF774" i="6"/>
  <c r="BF775" i="6"/>
  <c r="BE776" i="6"/>
  <c r="BE777" i="6"/>
  <c r="BF776" i="6"/>
  <c r="BF777" i="6"/>
  <c r="BE778" i="6"/>
  <c r="BE779" i="6"/>
  <c r="BF778" i="6"/>
  <c r="BF779" i="6"/>
  <c r="BE780" i="6"/>
  <c r="BE781" i="6"/>
  <c r="BF780" i="6"/>
  <c r="BF781" i="6"/>
  <c r="BE782" i="6"/>
  <c r="BE783" i="6"/>
  <c r="BF782" i="6"/>
  <c r="BF783" i="6"/>
  <c r="BE784" i="6"/>
  <c r="BE785" i="6"/>
  <c r="BF784" i="6"/>
  <c r="BF785" i="6"/>
  <c r="BE786" i="6"/>
  <c r="BE787" i="6"/>
  <c r="BF786" i="6"/>
  <c r="BF787" i="6"/>
  <c r="BE788" i="6"/>
  <c r="BE789" i="6"/>
  <c r="BF788" i="6"/>
  <c r="BF789" i="6"/>
  <c r="BE790" i="6"/>
  <c r="BE791" i="6"/>
  <c r="BF790" i="6"/>
  <c r="BF791" i="6"/>
  <c r="BE792" i="6"/>
  <c r="BE793" i="6"/>
  <c r="BF792" i="6"/>
  <c r="BF793" i="6"/>
  <c r="BE794" i="6"/>
  <c r="BE795" i="6"/>
  <c r="BF794" i="6"/>
  <c r="BF795" i="6"/>
  <c r="BE796" i="6"/>
  <c r="BE797" i="6"/>
  <c r="BF796" i="6"/>
  <c r="BF797" i="6"/>
  <c r="BE798" i="6"/>
  <c r="BE799" i="6"/>
  <c r="BF798" i="6"/>
  <c r="BF799" i="6"/>
  <c r="BE800" i="6"/>
  <c r="BE801" i="6"/>
  <c r="BF800" i="6"/>
  <c r="BF801" i="6"/>
  <c r="BE802" i="6"/>
  <c r="BE803" i="6"/>
  <c r="BF802" i="6"/>
  <c r="BF803" i="6"/>
  <c r="BE804" i="6"/>
  <c r="BE805" i="6"/>
  <c r="BF804" i="6"/>
  <c r="BF805" i="6"/>
  <c r="BE806" i="6"/>
  <c r="BE807" i="6"/>
  <c r="BF806" i="6"/>
  <c r="BF807" i="6"/>
  <c r="BE808" i="6"/>
  <c r="BE809" i="6"/>
  <c r="BF808" i="6"/>
  <c r="BF809" i="6"/>
  <c r="BE810" i="6"/>
  <c r="BE811" i="6"/>
  <c r="BF810" i="6"/>
  <c r="BF811" i="6"/>
  <c r="BE812" i="6"/>
  <c r="BE813" i="6"/>
  <c r="BF812" i="6"/>
  <c r="BF813" i="6"/>
  <c r="BE814" i="6"/>
  <c r="BE815" i="6"/>
  <c r="BF814" i="6"/>
  <c r="BF815" i="6"/>
  <c r="BE816" i="6"/>
  <c r="BE817" i="6"/>
  <c r="BF816" i="6"/>
  <c r="BF817" i="6"/>
  <c r="BE818" i="6"/>
  <c r="BE819" i="6"/>
  <c r="BF818" i="6"/>
  <c r="BF819" i="6"/>
  <c r="BE820" i="6"/>
  <c r="BE821" i="6"/>
  <c r="BF820" i="6"/>
  <c r="BF821" i="6"/>
  <c r="BE822" i="6"/>
  <c r="BE823" i="6"/>
  <c r="BF822" i="6"/>
  <c r="BF823" i="6"/>
  <c r="BE824" i="6"/>
  <c r="BE825" i="6"/>
  <c r="BF824" i="6"/>
  <c r="BF825" i="6"/>
  <c r="BE826" i="6"/>
  <c r="BE827" i="6"/>
  <c r="BF826" i="6"/>
  <c r="BF827" i="6"/>
  <c r="BE828" i="6"/>
  <c r="BE829" i="6"/>
  <c r="BF828" i="6"/>
  <c r="BF829" i="6"/>
  <c r="BE830" i="6"/>
  <c r="BE831" i="6"/>
  <c r="BF830" i="6"/>
  <c r="BF831" i="6"/>
  <c r="BE832" i="6"/>
  <c r="BE833" i="6"/>
  <c r="BF832" i="6"/>
  <c r="BF833" i="6"/>
  <c r="BE834" i="6"/>
  <c r="BE835" i="6"/>
  <c r="BF834" i="6"/>
  <c r="BF835" i="6"/>
  <c r="BE836" i="6"/>
  <c r="BE837" i="6"/>
  <c r="BF836" i="6"/>
  <c r="BF837" i="6"/>
  <c r="BE838" i="6"/>
  <c r="BE839" i="6"/>
  <c r="BF838" i="6"/>
  <c r="BF839" i="6"/>
  <c r="BE840" i="6"/>
  <c r="BE841" i="6"/>
  <c r="BF840" i="6"/>
  <c r="BF841" i="6"/>
  <c r="BE842" i="6"/>
  <c r="BE843" i="6"/>
  <c r="BF842" i="6"/>
  <c r="BF843" i="6"/>
  <c r="BE844" i="6"/>
  <c r="BE845" i="6"/>
  <c r="BF844" i="6"/>
  <c r="BF845" i="6"/>
  <c r="BE846" i="6"/>
  <c r="BE847" i="6"/>
  <c r="BF846" i="6"/>
  <c r="BF847" i="6"/>
  <c r="BE848" i="6"/>
  <c r="BE849" i="6"/>
  <c r="BF848" i="6"/>
  <c r="BF849" i="6"/>
  <c r="BE850" i="6"/>
  <c r="BE851" i="6"/>
  <c r="BF850" i="6"/>
  <c r="BF851" i="6"/>
  <c r="BE852" i="6"/>
  <c r="BE853" i="6"/>
  <c r="BF852" i="6"/>
  <c r="BF853" i="6"/>
  <c r="BE854" i="6"/>
  <c r="BE855" i="6"/>
  <c r="BF854" i="6"/>
  <c r="BF855" i="6"/>
  <c r="BE856" i="6"/>
  <c r="BE857" i="6"/>
  <c r="BF856" i="6"/>
  <c r="BF857" i="6"/>
  <c r="BE858" i="6"/>
  <c r="BE859" i="6"/>
  <c r="BF858" i="6"/>
  <c r="BF859" i="6"/>
  <c r="BE860" i="6"/>
  <c r="BE861" i="6"/>
  <c r="BF860" i="6"/>
  <c r="BF861" i="6"/>
  <c r="BE862" i="6"/>
  <c r="BE863" i="6"/>
  <c r="BF862" i="6"/>
  <c r="BF863" i="6"/>
  <c r="BE864" i="6"/>
  <c r="BE865" i="6"/>
  <c r="BF864" i="6"/>
  <c r="BF865" i="6"/>
  <c r="BE866" i="6"/>
  <c r="BE867" i="6"/>
  <c r="BF866" i="6"/>
  <c r="BF867" i="6"/>
  <c r="BE868" i="6"/>
  <c r="BE869" i="6"/>
  <c r="BF868" i="6"/>
  <c r="BF869" i="6"/>
  <c r="BE870" i="6"/>
  <c r="BE871" i="6"/>
  <c r="BF870" i="6"/>
  <c r="BF871" i="6"/>
  <c r="BE872" i="6"/>
  <c r="BE873" i="6"/>
  <c r="BF872" i="6"/>
  <c r="BF873" i="6"/>
  <c r="BE874" i="6"/>
  <c r="BE875" i="6"/>
  <c r="BF874" i="6"/>
  <c r="BF875" i="6"/>
  <c r="BE876" i="6"/>
  <c r="BE877" i="6"/>
  <c r="BF876" i="6"/>
  <c r="BF877" i="6"/>
  <c r="BE878" i="6"/>
  <c r="BE879" i="6"/>
  <c r="BF878" i="6"/>
  <c r="BF879" i="6"/>
  <c r="BE880" i="6"/>
  <c r="BE881" i="6"/>
  <c r="BF880" i="6"/>
  <c r="BF881" i="6"/>
  <c r="BE882" i="6"/>
  <c r="BE883" i="6"/>
  <c r="BF882" i="6"/>
  <c r="BF883" i="6"/>
  <c r="BE884" i="6"/>
  <c r="BE885" i="6"/>
  <c r="BF884" i="6"/>
  <c r="BF885" i="6"/>
  <c r="BE886" i="6"/>
  <c r="BE887" i="6"/>
  <c r="BF886" i="6"/>
  <c r="BF887" i="6"/>
  <c r="BE888" i="6"/>
  <c r="BE889" i="6"/>
  <c r="BF888" i="6"/>
  <c r="BF889" i="6"/>
  <c r="BE890" i="6"/>
  <c r="BE891" i="6"/>
  <c r="BF890" i="6"/>
  <c r="BF891" i="6"/>
  <c r="BE892" i="6"/>
  <c r="BE893" i="6"/>
  <c r="BF892" i="6"/>
  <c r="BF893" i="6"/>
  <c r="BE894" i="6"/>
  <c r="BE895" i="6"/>
  <c r="BF894" i="6"/>
  <c r="BF895" i="6"/>
  <c r="BE896" i="6"/>
  <c r="BE897" i="6"/>
  <c r="BF896" i="6"/>
  <c r="BF897" i="6"/>
  <c r="BE898" i="6"/>
  <c r="BE899" i="6"/>
  <c r="BF898" i="6"/>
  <c r="BF899" i="6"/>
  <c r="BE900" i="6"/>
  <c r="BE901" i="6"/>
  <c r="BF900" i="6"/>
  <c r="BF901" i="6"/>
  <c r="BE902" i="6"/>
  <c r="BE903" i="6"/>
  <c r="BF902" i="6"/>
  <c r="BF903" i="6"/>
  <c r="BE904" i="6"/>
  <c r="BE905" i="6"/>
  <c r="BF904" i="6"/>
  <c r="BF905" i="6"/>
  <c r="BE906" i="6"/>
  <c r="BE907" i="6"/>
  <c r="BF906" i="6"/>
  <c r="BF907" i="6"/>
  <c r="BE908" i="6"/>
  <c r="BE909" i="6"/>
  <c r="BF908" i="6"/>
  <c r="BF909" i="6"/>
  <c r="BE910" i="6"/>
  <c r="BE911" i="6"/>
  <c r="BF910" i="6"/>
  <c r="BF911" i="6"/>
  <c r="BE912" i="6"/>
  <c r="BE913" i="6"/>
  <c r="BF912" i="6"/>
  <c r="BF913" i="6"/>
  <c r="BE914" i="6"/>
  <c r="BE915" i="6"/>
  <c r="BF914" i="6"/>
  <c r="BF915" i="6"/>
  <c r="BE916" i="6"/>
  <c r="BE917" i="6"/>
  <c r="BF916" i="6"/>
  <c r="BF917" i="6"/>
  <c r="BE918" i="6"/>
  <c r="BE919" i="6"/>
  <c r="BF918" i="6"/>
  <c r="BF919" i="6"/>
  <c r="BE920" i="6"/>
  <c r="BE921" i="6"/>
  <c r="BF920" i="6"/>
  <c r="BF921" i="6"/>
  <c r="BE922" i="6"/>
  <c r="BE923" i="6"/>
  <c r="BF922" i="6"/>
  <c r="BF923" i="6"/>
  <c r="BE924" i="6"/>
  <c r="BE925" i="6"/>
  <c r="BF924" i="6"/>
  <c r="BF925" i="6"/>
  <c r="BE926" i="6"/>
  <c r="BE927" i="6"/>
  <c r="BF926" i="6"/>
  <c r="BF927" i="6"/>
  <c r="BE928" i="6"/>
  <c r="BE929" i="6"/>
  <c r="BF928" i="6"/>
  <c r="BF929" i="6"/>
  <c r="BE930" i="6"/>
  <c r="BE931" i="6"/>
  <c r="BF930" i="6"/>
  <c r="BF931" i="6"/>
  <c r="BE932" i="6"/>
  <c r="BE933" i="6"/>
  <c r="BF932" i="6"/>
  <c r="BF933" i="6"/>
  <c r="BE934" i="6"/>
  <c r="BE935" i="6"/>
  <c r="BF934" i="6"/>
  <c r="BF935" i="6"/>
  <c r="BE936" i="6"/>
  <c r="BE937" i="6"/>
  <c r="BF936" i="6"/>
  <c r="BF937" i="6"/>
  <c r="BE938" i="6"/>
  <c r="BE939" i="6"/>
  <c r="BF938" i="6"/>
  <c r="BF939" i="6"/>
  <c r="BE940" i="6"/>
  <c r="BE941" i="6"/>
  <c r="BF940" i="6"/>
  <c r="BF941" i="6"/>
  <c r="BE942" i="6"/>
  <c r="BE943" i="6"/>
  <c r="BF942" i="6"/>
  <c r="BF943" i="6"/>
  <c r="BE944" i="6"/>
  <c r="BE945" i="6"/>
  <c r="BF944" i="6"/>
  <c r="BF945" i="6"/>
  <c r="BE946" i="6"/>
  <c r="BE947" i="6"/>
  <c r="BF946" i="6"/>
  <c r="BF947" i="6"/>
  <c r="BE948" i="6"/>
  <c r="BE949" i="6"/>
  <c r="BF948" i="6"/>
  <c r="BF949" i="6"/>
  <c r="BE950" i="6"/>
  <c r="BE951" i="6"/>
  <c r="BF950" i="6"/>
  <c r="BF951" i="6"/>
  <c r="BE952" i="6"/>
  <c r="BE953" i="6"/>
  <c r="BF952" i="6"/>
  <c r="BF953" i="6"/>
  <c r="BE954" i="6"/>
  <c r="BE955" i="6"/>
  <c r="BF954" i="6"/>
  <c r="BF955" i="6"/>
  <c r="BE956" i="6"/>
  <c r="BE957" i="6"/>
  <c r="BF956" i="6"/>
  <c r="BF957" i="6"/>
  <c r="BE958" i="6"/>
  <c r="BE959" i="6"/>
  <c r="BF958" i="6"/>
  <c r="BF959" i="6"/>
  <c r="BE960" i="6"/>
  <c r="BE961" i="6"/>
  <c r="BF960" i="6"/>
  <c r="BF961" i="6"/>
  <c r="BE962" i="6"/>
  <c r="BE963" i="6"/>
  <c r="BF962" i="6"/>
  <c r="BF963" i="6"/>
  <c r="BE964" i="6"/>
  <c r="BE965" i="6"/>
  <c r="BF964" i="6"/>
  <c r="BF965" i="6"/>
  <c r="BE966" i="6"/>
  <c r="BE967" i="6"/>
  <c r="BF966" i="6"/>
  <c r="BF967" i="6"/>
  <c r="BE968" i="6"/>
  <c r="BE969" i="6"/>
  <c r="BF968" i="6"/>
  <c r="BF969" i="6"/>
  <c r="BE970" i="6"/>
  <c r="BE971" i="6"/>
  <c r="BF970" i="6"/>
  <c r="BF971" i="6"/>
  <c r="BE972" i="6"/>
  <c r="BE973" i="6"/>
  <c r="BF972" i="6"/>
  <c r="BF973" i="6"/>
  <c r="BE974" i="6"/>
  <c r="BE975" i="6"/>
  <c r="BF974" i="6"/>
  <c r="BF975" i="6"/>
  <c r="BE976" i="6"/>
  <c r="BE977" i="6"/>
  <c r="BF976" i="6"/>
  <c r="BF977" i="6"/>
  <c r="BE978" i="6"/>
  <c r="BE979" i="6"/>
  <c r="BF978" i="6"/>
  <c r="BF979" i="6"/>
  <c r="BE980" i="6"/>
  <c r="BE981" i="6"/>
  <c r="BF980" i="6"/>
  <c r="BF981" i="6"/>
  <c r="BE982" i="6"/>
  <c r="BE983" i="6"/>
  <c r="BF982" i="6"/>
  <c r="BF983" i="6"/>
  <c r="BE984" i="6"/>
  <c r="BE985" i="6"/>
  <c r="BF984" i="6"/>
  <c r="BF985" i="6"/>
  <c r="BE986" i="6"/>
  <c r="BE987" i="6"/>
  <c r="BF986" i="6"/>
  <c r="BF987" i="6"/>
  <c r="BE988" i="6"/>
  <c r="BE989" i="6"/>
  <c r="BF988" i="6"/>
  <c r="BF989" i="6"/>
  <c r="BE990" i="6"/>
  <c r="BE991" i="6"/>
  <c r="BF990" i="6"/>
  <c r="BF991" i="6"/>
  <c r="BE992" i="6"/>
  <c r="BE993" i="6"/>
  <c r="BF992" i="6"/>
  <c r="BF993" i="6"/>
  <c r="BE994" i="6"/>
  <c r="BE995" i="6"/>
  <c r="BF994" i="6"/>
  <c r="BF995" i="6"/>
  <c r="BE996" i="6"/>
  <c r="BE997" i="6"/>
  <c r="BF996" i="6"/>
  <c r="BF997" i="6"/>
  <c r="BE998" i="6"/>
  <c r="BE999" i="6"/>
  <c r="BF998" i="6"/>
  <c r="BF999" i="6"/>
  <c r="BE1000" i="6"/>
  <c r="BE1001" i="6"/>
  <c r="BF1000" i="6"/>
  <c r="BF1001" i="6"/>
  <c r="BE1002" i="6"/>
  <c r="BE1003" i="6"/>
  <c r="BF1002" i="6"/>
  <c r="BF1003" i="6"/>
  <c r="BE1004" i="6"/>
  <c r="BE1005" i="6"/>
  <c r="BF1004" i="6"/>
  <c r="BF1005" i="6"/>
  <c r="BE1006" i="6"/>
  <c r="BE1007" i="6"/>
  <c r="BF1006" i="6"/>
  <c r="BF1007" i="6"/>
  <c r="BE1008" i="6"/>
  <c r="BE1009" i="6"/>
  <c r="BF1008" i="6"/>
  <c r="BF1009" i="6"/>
  <c r="BE1010" i="6"/>
  <c r="BE1011" i="6"/>
  <c r="BF1010" i="6"/>
  <c r="BF1011" i="6"/>
  <c r="BE1012" i="6"/>
  <c r="BE1013" i="6"/>
  <c r="BF1012" i="6"/>
  <c r="BF1013" i="6"/>
  <c r="BE1014" i="6"/>
  <c r="BE1015" i="6"/>
  <c r="BF1014" i="6"/>
  <c r="BF1015" i="6"/>
  <c r="BE1016" i="6"/>
  <c r="BE1017" i="6"/>
  <c r="BF1016" i="6"/>
  <c r="BF1017" i="6"/>
  <c r="BE1018" i="6"/>
  <c r="BE1019" i="6"/>
  <c r="BF1018" i="6"/>
  <c r="BF1019" i="6"/>
  <c r="BE1020" i="6"/>
  <c r="BE1021" i="6"/>
  <c r="BF1020" i="6"/>
  <c r="BF1021" i="6"/>
  <c r="BE1022" i="6"/>
  <c r="BE1023" i="6"/>
  <c r="BF1022" i="6"/>
  <c r="BF1023" i="6"/>
  <c r="BE1024" i="6"/>
  <c r="BE1025" i="6"/>
  <c r="BF1024" i="6"/>
  <c r="BF1025" i="6"/>
  <c r="BE1026" i="6"/>
  <c r="BE1027" i="6"/>
  <c r="BF1026" i="6"/>
  <c r="BF1027" i="6"/>
  <c r="BE1028" i="6"/>
  <c r="BE1029" i="6"/>
  <c r="BF1028" i="6"/>
  <c r="BF1029" i="6"/>
  <c r="BE1030" i="6"/>
  <c r="BE1031" i="6"/>
  <c r="BF1030" i="6"/>
  <c r="BF1031" i="6"/>
  <c r="BE1032" i="6"/>
  <c r="BE1033" i="6"/>
  <c r="BF1032" i="6"/>
  <c r="BF1033" i="6"/>
  <c r="BE1034" i="6"/>
  <c r="BE1035" i="6"/>
  <c r="BF1034" i="6"/>
  <c r="BF1035" i="6"/>
  <c r="BE1036" i="6"/>
  <c r="BE1037" i="6"/>
  <c r="BF1036" i="6"/>
  <c r="BF1037" i="6"/>
  <c r="BE1038" i="6"/>
  <c r="BE1039" i="6"/>
  <c r="BF1038" i="6"/>
  <c r="BF1039" i="6"/>
  <c r="BE1040" i="6"/>
  <c r="BE1041" i="6"/>
  <c r="BF1040" i="6"/>
  <c r="BF1041" i="6"/>
  <c r="BE1042" i="6"/>
  <c r="BE1043" i="6"/>
  <c r="BF1042" i="6"/>
  <c r="BF1043" i="6"/>
  <c r="BE1044" i="6"/>
  <c r="BE1045" i="6"/>
  <c r="BF1044" i="6"/>
  <c r="BF1045" i="6"/>
  <c r="BE1046" i="6"/>
  <c r="BE1047" i="6"/>
  <c r="BF1046" i="6"/>
  <c r="BF1047" i="6"/>
  <c r="BE1048" i="6"/>
  <c r="BF1048" i="6"/>
  <c r="BE1049" i="6"/>
  <c r="BF1049" i="6"/>
  <c r="BE1050" i="6"/>
  <c r="BF1050" i="6"/>
  <c r="BE1051" i="6"/>
  <c r="BF1051" i="6"/>
  <c r="BE1052" i="6"/>
  <c r="BF1052" i="6"/>
  <c r="BE1053" i="6"/>
  <c r="BF1053" i="6"/>
  <c r="BE1054" i="6"/>
  <c r="BE1055" i="6"/>
  <c r="BF1054" i="6"/>
  <c r="BF1055" i="6"/>
  <c r="BE1056" i="6"/>
  <c r="BF1056" i="6"/>
  <c r="BE1057" i="6"/>
  <c r="BF1057" i="6"/>
  <c r="BE1058" i="6"/>
  <c r="BF1058" i="6"/>
  <c r="BE1059" i="6"/>
  <c r="BF1059" i="6"/>
  <c r="BE1060" i="6"/>
  <c r="BF1060" i="6"/>
  <c r="BE1061" i="6"/>
  <c r="BF1061" i="6"/>
  <c r="BE1062" i="6"/>
  <c r="BE1063" i="6"/>
  <c r="BF1062" i="6"/>
  <c r="BF1063" i="6"/>
  <c r="BE1064" i="6"/>
  <c r="BF1064" i="6"/>
  <c r="BE1065" i="6"/>
  <c r="BF1065" i="6"/>
  <c r="BE1066" i="6"/>
  <c r="BF1066" i="6"/>
  <c r="BE1067" i="6"/>
  <c r="BF1067" i="6"/>
  <c r="BE1068" i="6"/>
  <c r="BF1068" i="6"/>
  <c r="BE1069" i="6"/>
  <c r="BF1069" i="6"/>
  <c r="BE1070" i="6"/>
  <c r="BE1071" i="6"/>
  <c r="BF1070" i="6"/>
  <c r="BF1071" i="6"/>
  <c r="BE1072" i="6"/>
  <c r="BF1072" i="6"/>
  <c r="BE1073" i="6"/>
  <c r="BF1073" i="6"/>
  <c r="BE1074" i="6"/>
  <c r="BF1074" i="6"/>
  <c r="BE1075" i="6"/>
  <c r="BF1075" i="6"/>
  <c r="BE1076" i="6"/>
  <c r="BF1076" i="6"/>
  <c r="BE1077" i="6"/>
  <c r="BF1077" i="6"/>
  <c r="BE1078" i="6"/>
  <c r="BE1079" i="6"/>
  <c r="BF1078" i="6"/>
  <c r="BF1079" i="6"/>
  <c r="BE1080" i="6"/>
  <c r="BF1080" i="6"/>
  <c r="BE1081" i="6"/>
  <c r="BF1081" i="6"/>
  <c r="BE1082" i="6"/>
  <c r="BF1082" i="6"/>
  <c r="BE1083" i="6"/>
  <c r="BF1083" i="6"/>
  <c r="BE1084" i="6"/>
  <c r="BF1084" i="6"/>
  <c r="BE1085" i="6"/>
  <c r="BF1085" i="6"/>
  <c r="BE1086" i="6"/>
  <c r="BE1087" i="6"/>
  <c r="BF1086" i="6"/>
  <c r="BF1087" i="6"/>
  <c r="BE1088" i="6"/>
  <c r="BE1089" i="6"/>
  <c r="BF1088" i="6"/>
  <c r="BF1089" i="6"/>
  <c r="BE1090" i="6"/>
  <c r="BF1090" i="6"/>
  <c r="BE1091" i="6"/>
  <c r="BF1091" i="6"/>
  <c r="BE1092" i="6"/>
  <c r="BF1092" i="6"/>
  <c r="BE1093" i="6"/>
  <c r="BF1093" i="6"/>
  <c r="BE1094" i="6"/>
  <c r="BE1095" i="6"/>
  <c r="BF1094" i="6"/>
  <c r="BF1095" i="6"/>
  <c r="BE1096" i="6"/>
  <c r="BF1096" i="6"/>
  <c r="BE1097" i="6"/>
  <c r="BF1097" i="6"/>
  <c r="BE1098" i="6"/>
  <c r="BF1098" i="6"/>
  <c r="BE1099" i="6"/>
  <c r="BF1099" i="6"/>
  <c r="BE1100" i="6"/>
  <c r="BF1100" i="6"/>
  <c r="BE1101" i="6"/>
  <c r="BF1101" i="6"/>
  <c r="BE1102" i="6"/>
  <c r="BE1103" i="6"/>
  <c r="BF1102" i="6"/>
  <c r="BF1103" i="6"/>
  <c r="BE1104" i="6"/>
  <c r="BE1105" i="6"/>
  <c r="BF1104" i="6"/>
  <c r="BF1105" i="6"/>
  <c r="BE1106" i="6"/>
  <c r="BF1106" i="6"/>
  <c r="BE1107" i="6"/>
  <c r="BF1107" i="6"/>
  <c r="BE1108" i="6"/>
  <c r="BF1108" i="6"/>
  <c r="BE1109" i="6"/>
  <c r="BF1109" i="6"/>
  <c r="BE1110" i="6"/>
  <c r="BE1111" i="6"/>
  <c r="BF1110" i="6"/>
  <c r="BF1111" i="6"/>
  <c r="BE1112" i="6"/>
  <c r="BF1112" i="6"/>
  <c r="BE1113" i="6"/>
  <c r="BF1113" i="6"/>
  <c r="BE1114" i="6"/>
  <c r="BF1114" i="6"/>
  <c r="BE1115" i="6"/>
  <c r="BF1115" i="6"/>
  <c r="BE1116" i="6"/>
  <c r="BF1116" i="6"/>
  <c r="BE1117" i="6"/>
  <c r="BF1117" i="6"/>
  <c r="BE1118" i="6"/>
  <c r="BE1119" i="6"/>
  <c r="BF1118" i="6"/>
  <c r="BF1119" i="6"/>
  <c r="BE1120" i="6"/>
  <c r="BF1120" i="6"/>
  <c r="BE1121" i="6"/>
  <c r="BF1121" i="6"/>
  <c r="BE1122" i="6"/>
  <c r="BF1122" i="6"/>
  <c r="BE1123" i="6"/>
  <c r="BF1123" i="6"/>
  <c r="BE1124" i="6"/>
  <c r="BF1124" i="6"/>
  <c r="BE1125" i="6"/>
  <c r="BF1125" i="6"/>
  <c r="BE1126" i="6"/>
  <c r="BE1127" i="6"/>
  <c r="BF1126" i="6"/>
  <c r="BF1127" i="6"/>
  <c r="BE1128" i="6"/>
  <c r="BF1128" i="6"/>
  <c r="BE1129" i="6"/>
  <c r="BF1129" i="6"/>
  <c r="BE1130" i="6"/>
  <c r="BF1130" i="6"/>
  <c r="BE1131" i="6"/>
  <c r="BF1131" i="6"/>
  <c r="BE1132" i="6"/>
  <c r="BF1132" i="6"/>
  <c r="BE1133" i="6"/>
  <c r="BF1133" i="6"/>
  <c r="BE1134" i="6"/>
  <c r="BE1135" i="6"/>
  <c r="BF1134" i="6"/>
  <c r="BF1135" i="6"/>
  <c r="BE1136" i="6"/>
  <c r="BE1137" i="6"/>
  <c r="BF1136" i="6"/>
  <c r="BF1137" i="6"/>
  <c r="BE1138" i="6"/>
  <c r="BF1138" i="6"/>
  <c r="BE1139" i="6"/>
  <c r="BF1139" i="6"/>
  <c r="BE1140" i="6"/>
  <c r="BF1140" i="6"/>
  <c r="BE1141" i="6"/>
  <c r="BF1141" i="6"/>
  <c r="BE1142" i="6"/>
  <c r="BE1143" i="6"/>
  <c r="BF1142" i="6"/>
  <c r="BF1143" i="6"/>
  <c r="BE1144" i="6"/>
  <c r="BF1144" i="6"/>
  <c r="BE1145" i="6"/>
  <c r="BF1145" i="6"/>
  <c r="BE1146" i="6"/>
  <c r="BF1146" i="6"/>
  <c r="BE1147" i="6"/>
  <c r="BF1147" i="6"/>
  <c r="BE1148" i="6"/>
  <c r="BF1148" i="6"/>
  <c r="BE1149" i="6"/>
  <c r="BF1149" i="6"/>
  <c r="BE1150" i="6"/>
  <c r="BE1151" i="6"/>
  <c r="BF1150" i="6"/>
  <c r="BF1151" i="6"/>
  <c r="BE1152" i="6"/>
  <c r="BE1153" i="6"/>
  <c r="BF1152" i="6"/>
  <c r="BF1153" i="6"/>
  <c r="BE1154" i="6"/>
  <c r="BF1154" i="6"/>
  <c r="BE1155" i="6"/>
  <c r="BF1155" i="6"/>
  <c r="BE1156" i="6"/>
  <c r="BF1156" i="6"/>
  <c r="BE1157" i="6"/>
  <c r="BF1157" i="6"/>
  <c r="BE1158" i="6"/>
  <c r="BF1158" i="6"/>
  <c r="BE1159" i="6"/>
  <c r="BF1159" i="6"/>
  <c r="BE1160" i="6"/>
  <c r="BF1160" i="6"/>
  <c r="BE1161" i="6"/>
  <c r="BF1161" i="6"/>
  <c r="BE1162" i="6"/>
  <c r="BF1162" i="6"/>
  <c r="BE1163" i="6"/>
  <c r="BF1163" i="6"/>
  <c r="BE1164" i="6"/>
  <c r="BF1164" i="6"/>
  <c r="BE1165" i="6"/>
  <c r="BE1166" i="6"/>
  <c r="BF1165" i="6"/>
  <c r="BF1166" i="6"/>
  <c r="BE1167" i="6"/>
  <c r="BF1167" i="6"/>
  <c r="BE1168" i="6"/>
  <c r="BF1168" i="6"/>
  <c r="BE1169" i="6"/>
  <c r="BE1170" i="6"/>
  <c r="BF1169" i="6"/>
  <c r="BF1170" i="6"/>
  <c r="BE1171" i="6"/>
  <c r="BF1171" i="6"/>
  <c r="BE1172" i="6"/>
  <c r="BF1172" i="6"/>
  <c r="BE1173" i="6"/>
  <c r="BE1174" i="6"/>
  <c r="BF1173" i="6"/>
  <c r="BF1174" i="6"/>
  <c r="BE1175" i="6"/>
  <c r="BF1175" i="6"/>
  <c r="BE1176" i="6"/>
  <c r="BF1176" i="6"/>
  <c r="BE1177" i="6"/>
  <c r="BF1177" i="6"/>
  <c r="BE1178" i="6"/>
  <c r="BF1178" i="6"/>
  <c r="BE1179" i="6"/>
  <c r="BF1179" i="6"/>
  <c r="BE1180" i="6"/>
  <c r="BF1180" i="6"/>
  <c r="BE1181" i="6"/>
  <c r="BF1181" i="6"/>
  <c r="BE1182" i="6"/>
  <c r="BF1182" i="6"/>
  <c r="BE1183" i="6"/>
  <c r="BF1183" i="6"/>
  <c r="BE1184" i="6"/>
  <c r="BF1184" i="6"/>
  <c r="BE1185" i="6"/>
  <c r="BE1186" i="6"/>
  <c r="BF1185" i="6"/>
  <c r="BF1186" i="6"/>
  <c r="BE1187" i="6"/>
  <c r="BF1187" i="6"/>
  <c r="BE1188" i="6"/>
  <c r="BF1188" i="6"/>
  <c r="BE1189" i="6"/>
  <c r="BE1190" i="6"/>
  <c r="BF1189" i="6"/>
  <c r="BF1190" i="6"/>
  <c r="BE1191" i="6"/>
  <c r="BF1191" i="6"/>
  <c r="BE1192" i="6"/>
  <c r="BF1192" i="6"/>
  <c r="BE1193" i="6"/>
  <c r="BE1194" i="6"/>
  <c r="BF1193" i="6"/>
  <c r="BF1194" i="6"/>
  <c r="BE1195" i="6"/>
  <c r="BF1195" i="6"/>
  <c r="BE1196" i="6"/>
  <c r="BF1196" i="6"/>
  <c r="BE1197" i="6"/>
  <c r="BF1197" i="6"/>
  <c r="BE1198" i="6"/>
  <c r="BF1198" i="6"/>
  <c r="BE1199" i="6"/>
  <c r="BF1199" i="6"/>
  <c r="BE1200" i="6"/>
  <c r="BF1200" i="6"/>
  <c r="BE1201" i="6"/>
  <c r="BE1202" i="6"/>
  <c r="BF1201" i="6"/>
  <c r="BF1202" i="6"/>
  <c r="BE1203" i="6"/>
  <c r="BF1203" i="6"/>
  <c r="BE1204" i="6"/>
  <c r="BF1204" i="6"/>
  <c r="BE1205" i="6"/>
  <c r="BF1205" i="6"/>
  <c r="BE1206" i="6"/>
  <c r="BF1206" i="6"/>
  <c r="BE1207" i="6"/>
  <c r="BF1207" i="6"/>
  <c r="BE1208" i="6"/>
  <c r="BF1208" i="6"/>
  <c r="BE1209" i="6"/>
  <c r="BF1209" i="6"/>
  <c r="BE1210" i="6"/>
  <c r="BF1210" i="6"/>
  <c r="BE1211" i="6"/>
  <c r="BF1211" i="6"/>
  <c r="BE1212" i="6"/>
  <c r="BF1212" i="6"/>
  <c r="BE1213" i="6"/>
  <c r="BF1213" i="6"/>
  <c r="BE1214" i="6"/>
  <c r="BF1214" i="6"/>
  <c r="BE1215" i="6"/>
  <c r="BF1215" i="6"/>
  <c r="BE1216" i="6"/>
  <c r="BF1216" i="6"/>
  <c r="BE1217" i="6"/>
  <c r="BE1218" i="6"/>
  <c r="BF1217" i="6"/>
  <c r="BF1218" i="6"/>
  <c r="BE1219" i="6"/>
  <c r="BF1219" i="6"/>
  <c r="BE1220" i="6"/>
  <c r="BF1220" i="6"/>
  <c r="BE1221" i="6"/>
  <c r="BF1221" i="6"/>
  <c r="BE1222" i="6"/>
  <c r="BF1222" i="6"/>
  <c r="BE1223" i="6"/>
  <c r="BF1223" i="6"/>
  <c r="BE1224" i="6"/>
  <c r="BF1224" i="6"/>
  <c r="BE1225" i="6"/>
  <c r="BE1226" i="6"/>
  <c r="BF1225" i="6"/>
  <c r="BF1226" i="6"/>
  <c r="BE1227" i="6"/>
  <c r="BF1227" i="6"/>
  <c r="BE1228" i="6"/>
  <c r="BF1228" i="6"/>
  <c r="BE1229" i="6"/>
  <c r="BF1229" i="6"/>
  <c r="BE1230" i="6"/>
  <c r="BF1230" i="6"/>
  <c r="BE1231" i="6"/>
  <c r="BF1231" i="6"/>
  <c r="BE1232" i="6"/>
  <c r="BF1232" i="6"/>
  <c r="BE1233" i="6"/>
  <c r="BE1234" i="6"/>
  <c r="BF1233" i="6"/>
  <c r="BF1234" i="6"/>
  <c r="BE1235" i="6"/>
  <c r="BF1235" i="6"/>
  <c r="BE1236" i="6"/>
  <c r="BF1236" i="6"/>
  <c r="BE1237" i="6"/>
  <c r="BF1237" i="6"/>
  <c r="BE1238" i="6"/>
  <c r="BF1238" i="6"/>
  <c r="BE1239" i="6"/>
  <c r="BF1239" i="6"/>
  <c r="BE1240" i="6"/>
  <c r="BF1240" i="6"/>
  <c r="BE1241" i="6"/>
  <c r="BF1241" i="6"/>
  <c r="BE1242" i="6"/>
  <c r="BF1242" i="6"/>
  <c r="BE1243" i="6"/>
  <c r="BF1243" i="6"/>
  <c r="BE1244" i="6"/>
  <c r="BF1244" i="6"/>
  <c r="BE1245" i="6"/>
  <c r="BF1245" i="6"/>
  <c r="BE1246" i="6"/>
  <c r="BF1246" i="6"/>
  <c r="BE1247" i="6"/>
  <c r="BF1247" i="6"/>
  <c r="BE1248" i="6"/>
  <c r="BF1248" i="6"/>
  <c r="BE1249" i="6"/>
  <c r="BE1250" i="6"/>
  <c r="BF1249" i="6"/>
  <c r="BF1250" i="6"/>
  <c r="BE1251" i="6"/>
  <c r="BF1251" i="6"/>
  <c r="BE1252" i="6"/>
  <c r="BF1252" i="6"/>
  <c r="BE1253" i="6"/>
  <c r="BE1254" i="6"/>
  <c r="BF1253" i="6"/>
  <c r="BF1254" i="6"/>
  <c r="BE1255" i="6"/>
  <c r="BF1255" i="6"/>
  <c r="BE1256" i="6"/>
  <c r="BF1256" i="6"/>
  <c r="BE1257" i="6"/>
  <c r="BF1257" i="6"/>
  <c r="BE1258" i="6"/>
  <c r="BF1258" i="6"/>
  <c r="BE1259" i="6"/>
  <c r="BF1259" i="6"/>
  <c r="BE1260" i="6"/>
  <c r="BF1260" i="6"/>
  <c r="BE1261" i="6"/>
  <c r="BF1261" i="6"/>
  <c r="BE1262" i="6"/>
  <c r="BF1262" i="6"/>
  <c r="BE1263" i="6"/>
  <c r="BF1263" i="6"/>
  <c r="BE1264" i="6"/>
  <c r="BF1264" i="6"/>
  <c r="BE1265" i="6"/>
  <c r="BF1265" i="6"/>
  <c r="BE1266" i="6"/>
  <c r="BF1266" i="6"/>
  <c r="BE1267" i="6"/>
  <c r="BF1267" i="6"/>
  <c r="BE1268" i="6"/>
  <c r="BF1268" i="6"/>
  <c r="BE1269" i="6"/>
  <c r="BE1270" i="6"/>
  <c r="BF1269" i="6"/>
  <c r="BF1270" i="6"/>
  <c r="BE1271" i="6"/>
  <c r="BF1271" i="6"/>
  <c r="BE1272" i="6"/>
  <c r="BF1272" i="6"/>
  <c r="BE1273" i="6"/>
  <c r="BE1274" i="6"/>
  <c r="BF1273" i="6"/>
  <c r="BF1274" i="6"/>
  <c r="BE1275" i="6"/>
  <c r="BF1275" i="6"/>
  <c r="BE1276" i="6"/>
  <c r="BF1276" i="6"/>
  <c r="BE1277" i="6"/>
  <c r="BF1277" i="6"/>
  <c r="BE1278" i="6"/>
  <c r="BF1278" i="6"/>
  <c r="BE1279" i="6"/>
  <c r="BF1279" i="6"/>
  <c r="BE1280" i="6"/>
  <c r="BF1280" i="6"/>
  <c r="BE1281" i="6"/>
  <c r="BF1281" i="6"/>
  <c r="BE1282" i="6"/>
  <c r="BF1282" i="6"/>
  <c r="BE1283" i="6"/>
  <c r="BF1283" i="6"/>
  <c r="BE1284" i="6"/>
  <c r="BF1284" i="6"/>
  <c r="BE1285" i="6"/>
  <c r="BE1286" i="6"/>
  <c r="BF1285" i="6"/>
  <c r="BF1286" i="6"/>
  <c r="BE1287" i="6"/>
  <c r="BF1287" i="6"/>
  <c r="BE1288" i="6"/>
  <c r="BF1288" i="6"/>
  <c r="BE1289" i="6"/>
  <c r="BF1289" i="6"/>
  <c r="BE1290" i="6"/>
  <c r="BF1290" i="6"/>
  <c r="BE1291" i="6"/>
  <c r="BF1291" i="6"/>
  <c r="BE1292" i="6"/>
  <c r="BF1292" i="6"/>
  <c r="BE1293" i="6"/>
  <c r="BE1294" i="6"/>
  <c r="BF1293" i="6"/>
  <c r="BF1294" i="6"/>
  <c r="BE1295" i="6"/>
  <c r="BF1295" i="6"/>
  <c r="BE1296" i="6"/>
  <c r="BF1296" i="6"/>
  <c r="BE1297" i="6"/>
  <c r="BF1297" i="6"/>
  <c r="BE1298" i="6"/>
  <c r="BF1298" i="6"/>
  <c r="BE1299" i="6"/>
  <c r="BF1299" i="6"/>
  <c r="BE1300" i="6"/>
  <c r="BF1300" i="6"/>
  <c r="BE1301" i="6"/>
  <c r="BE1302" i="6"/>
  <c r="BF1301" i="6"/>
  <c r="BF1302" i="6"/>
  <c r="BE1303" i="6"/>
  <c r="BF1303" i="6"/>
  <c r="BE1304" i="6"/>
  <c r="BF1304" i="6"/>
  <c r="BE1305" i="6"/>
  <c r="BF1305" i="6"/>
  <c r="BE1306" i="6"/>
  <c r="BF1306" i="6"/>
  <c r="BE1307" i="6"/>
  <c r="BF1307" i="6"/>
  <c r="BE1308" i="6"/>
  <c r="BF1308" i="6"/>
  <c r="BE1309" i="6"/>
  <c r="BE1310" i="6"/>
  <c r="BF1309" i="6"/>
  <c r="BF1310" i="6"/>
  <c r="BE1311" i="6"/>
  <c r="BF1311" i="6"/>
  <c r="BE1312" i="6"/>
  <c r="BF1312" i="6"/>
  <c r="BE1313" i="6"/>
  <c r="BF1313" i="6"/>
  <c r="BE1314" i="6"/>
  <c r="BF1314" i="6"/>
  <c r="BE1315" i="6"/>
  <c r="BF1315" i="6"/>
  <c r="BE1316" i="6"/>
  <c r="BF1316" i="6"/>
  <c r="BE1317" i="6"/>
  <c r="BE1318" i="6"/>
  <c r="BF1317" i="6"/>
  <c r="BF1318" i="6"/>
  <c r="BE1319" i="6"/>
  <c r="BF1319" i="6"/>
  <c r="BE1320" i="6"/>
  <c r="BF1320" i="6"/>
  <c r="BE1321" i="6"/>
  <c r="BE1322" i="6"/>
  <c r="BF1321" i="6"/>
  <c r="BF1322" i="6"/>
  <c r="BE1323" i="6"/>
  <c r="BF1323" i="6"/>
  <c r="BE1324" i="6"/>
  <c r="BF1324" i="6"/>
  <c r="BE1325" i="6"/>
  <c r="BF1325" i="6"/>
  <c r="BE1326" i="6"/>
  <c r="BF1326" i="6"/>
  <c r="BE1327" i="6"/>
  <c r="BF1327" i="6"/>
  <c r="BE1328" i="6"/>
  <c r="BF1328" i="6"/>
  <c r="BE1329" i="6"/>
  <c r="BF1329" i="6"/>
  <c r="BE1330" i="6"/>
  <c r="BF1330" i="6"/>
  <c r="BE1331" i="6"/>
  <c r="BF1331" i="6"/>
  <c r="BE1332" i="6"/>
  <c r="BF1332" i="6"/>
  <c r="BE1333" i="6"/>
  <c r="BE1334" i="6"/>
  <c r="BF1333" i="6"/>
  <c r="BF1334" i="6"/>
  <c r="BE1335" i="6"/>
  <c r="BF1335" i="6"/>
  <c r="BE1336" i="6"/>
  <c r="BF1336" i="6"/>
  <c r="BE1337" i="6"/>
  <c r="BE1338" i="6"/>
  <c r="BF1337" i="6"/>
  <c r="BF1338" i="6"/>
  <c r="BE1339" i="6"/>
  <c r="BF1339" i="6"/>
  <c r="BE1340" i="6"/>
  <c r="BF1340" i="6"/>
  <c r="BE1341" i="6"/>
  <c r="BE1342" i="6"/>
  <c r="BF1341" i="6"/>
  <c r="BF1342" i="6"/>
  <c r="BE1343" i="6"/>
  <c r="BF1343" i="6"/>
  <c r="BE1344" i="6"/>
  <c r="BF1344" i="6"/>
  <c r="BE1345" i="6"/>
  <c r="BF1345" i="6"/>
  <c r="BE1346" i="6"/>
  <c r="BF1346" i="6"/>
  <c r="BE1347" i="6"/>
  <c r="BF1347" i="6"/>
  <c r="BE1348" i="6"/>
  <c r="BF1348" i="6"/>
  <c r="BE1349" i="6"/>
  <c r="BE1350" i="6"/>
  <c r="BF1349" i="6"/>
  <c r="BF1350" i="6"/>
  <c r="BE1351" i="6"/>
  <c r="BF1351" i="6"/>
  <c r="BE1352" i="6"/>
  <c r="BF1352" i="6"/>
  <c r="BE1353" i="6"/>
  <c r="BF1353" i="6"/>
  <c r="BE1354" i="6"/>
  <c r="BF1354" i="6"/>
  <c r="BE1355" i="6"/>
  <c r="BF1355" i="6"/>
  <c r="BE1356" i="6"/>
  <c r="BF1356" i="6"/>
  <c r="BE1357" i="6"/>
  <c r="BE1358" i="6"/>
  <c r="BF1357" i="6"/>
  <c r="BF1358" i="6"/>
  <c r="BE1359" i="6"/>
  <c r="BF1359" i="6"/>
  <c r="BE1360" i="6"/>
  <c r="BF1360" i="6"/>
  <c r="BE1361" i="6"/>
  <c r="BF1361" i="6"/>
  <c r="BE1362" i="6"/>
  <c r="BF1362" i="6"/>
  <c r="BE1363" i="6"/>
  <c r="BF1363" i="6"/>
  <c r="BE1364" i="6"/>
  <c r="BF1364" i="6"/>
  <c r="BE1365" i="6"/>
  <c r="BE1366" i="6"/>
  <c r="BF1365" i="6"/>
  <c r="BF1366" i="6"/>
  <c r="BE1367" i="6"/>
  <c r="BF1367" i="6"/>
  <c r="BE1368" i="6"/>
  <c r="BF1368" i="6"/>
  <c r="BE1369" i="6"/>
  <c r="BE1370" i="6"/>
  <c r="BF1369" i="6"/>
  <c r="BF1370" i="6"/>
  <c r="BE1371" i="6"/>
  <c r="BF1371" i="6"/>
  <c r="BE1372" i="6"/>
  <c r="BF1372" i="6"/>
  <c r="BE1373" i="6"/>
  <c r="BE1374" i="6"/>
  <c r="BF1373" i="6"/>
  <c r="BF1374" i="6"/>
  <c r="BE1375" i="6"/>
  <c r="BF1375" i="6"/>
  <c r="BE1376" i="6"/>
  <c r="BF1376" i="6"/>
  <c r="BE1377" i="6"/>
  <c r="BF1377" i="6"/>
  <c r="BE1378" i="6"/>
  <c r="BF1378" i="6"/>
  <c r="BE1379" i="6"/>
  <c r="BF1379" i="6"/>
  <c r="BE1380" i="6"/>
  <c r="BF1380" i="6"/>
  <c r="BE1381" i="6"/>
  <c r="BE1382" i="6"/>
  <c r="BF1381" i="6"/>
  <c r="BF1382" i="6"/>
  <c r="BE1383" i="6"/>
  <c r="BF1383" i="6"/>
  <c r="BE1384" i="6"/>
  <c r="BF1384" i="6"/>
  <c r="BE1385" i="6"/>
  <c r="BF1385" i="6"/>
  <c r="BE1386" i="6"/>
  <c r="BF1386" i="6"/>
  <c r="BE1387" i="6"/>
  <c r="BF1387" i="6"/>
  <c r="BE1388" i="6"/>
  <c r="BF1388" i="6"/>
  <c r="BE1389" i="6"/>
  <c r="BF1389" i="6"/>
  <c r="BE1390" i="6"/>
  <c r="BF1390" i="6"/>
  <c r="BE1391" i="6"/>
  <c r="BF1391" i="6"/>
  <c r="BE1392" i="6"/>
  <c r="BF1392" i="6"/>
  <c r="BE1393" i="6"/>
  <c r="BF1393" i="6"/>
  <c r="BE1394" i="6"/>
  <c r="BF1394" i="6"/>
  <c r="BE1395" i="6"/>
  <c r="BF1395" i="6"/>
  <c r="BE1396" i="6"/>
  <c r="BF1396" i="6"/>
  <c r="BE1397" i="6"/>
  <c r="BE1398" i="6"/>
  <c r="BF1397" i="6"/>
  <c r="BF1398" i="6"/>
  <c r="BE1399" i="6"/>
  <c r="BF1399" i="6"/>
  <c r="BE1400" i="6"/>
  <c r="BF1400" i="6"/>
  <c r="BE1401" i="6"/>
  <c r="BE1402" i="6"/>
  <c r="BF1401" i="6"/>
  <c r="BF1402" i="6"/>
  <c r="BE1403" i="6"/>
  <c r="BF1403" i="6"/>
  <c r="BE1404" i="6"/>
  <c r="BF1404" i="6"/>
  <c r="BE1405" i="6"/>
  <c r="BF1405" i="6"/>
  <c r="BE1406" i="6"/>
  <c r="BF1406" i="6"/>
  <c r="BE1407" i="6"/>
  <c r="BF1407" i="6"/>
  <c r="BE1408" i="6"/>
  <c r="BF1408" i="6"/>
  <c r="BE1409" i="6"/>
  <c r="BF1409" i="6"/>
  <c r="BE1410" i="6"/>
  <c r="BF1410" i="6"/>
  <c r="BE1411" i="6"/>
  <c r="BF1411" i="6"/>
  <c r="BE1412" i="6"/>
  <c r="BF1412" i="6"/>
  <c r="BE1413" i="6"/>
  <c r="BE1414" i="6"/>
  <c r="BF1413" i="6"/>
  <c r="BF1414" i="6"/>
  <c r="BE1415" i="6"/>
  <c r="BF1415" i="6"/>
  <c r="BE1416" i="6"/>
  <c r="BF1416" i="6"/>
  <c r="BE1417" i="6"/>
  <c r="BF1417" i="6"/>
  <c r="BE1418" i="6"/>
  <c r="BF1418" i="6"/>
  <c r="BE1419" i="6"/>
  <c r="BF1419" i="6"/>
  <c r="BE1420" i="6"/>
  <c r="BF1420" i="6"/>
  <c r="BE1421" i="6"/>
  <c r="BE1422" i="6"/>
  <c r="BF1421" i="6"/>
  <c r="BF1422" i="6"/>
  <c r="BE1423" i="6"/>
  <c r="BF1423" i="6"/>
  <c r="BE1424" i="6"/>
  <c r="BF1424" i="6"/>
  <c r="BE1425" i="6"/>
  <c r="BF1425" i="6"/>
  <c r="BE1426" i="6"/>
  <c r="BF1426" i="6"/>
  <c r="BE1427" i="6"/>
  <c r="BF1427" i="6"/>
  <c r="BE1428" i="6"/>
  <c r="BF1428" i="6"/>
  <c r="BE1429" i="6"/>
  <c r="BE1430" i="6"/>
  <c r="BF1429" i="6"/>
  <c r="BF1430" i="6"/>
  <c r="BE1431" i="6"/>
  <c r="BF1431" i="6"/>
  <c r="BE1432" i="6"/>
  <c r="BF1432" i="6"/>
  <c r="BE1433" i="6"/>
  <c r="BE1434" i="6"/>
  <c r="BF1433" i="6"/>
  <c r="BF1434" i="6"/>
  <c r="BE1435" i="6"/>
  <c r="BF1435" i="6"/>
  <c r="BE1436" i="6"/>
  <c r="BF1436" i="6"/>
  <c r="BE1437" i="6"/>
  <c r="BE1438" i="6"/>
  <c r="BF1437" i="6"/>
  <c r="BF1438" i="6"/>
  <c r="BE1439" i="6"/>
  <c r="BF1439" i="6"/>
  <c r="BE1440" i="6"/>
  <c r="BF1440" i="6"/>
  <c r="BE1441" i="6"/>
  <c r="BF1441" i="6"/>
  <c r="BE1442" i="6"/>
  <c r="BF1442" i="6"/>
  <c r="BE1443" i="6"/>
  <c r="BE1444" i="6"/>
  <c r="BF1443" i="6"/>
  <c r="BF1444" i="6"/>
  <c r="BE1445" i="6"/>
  <c r="BE1446" i="6"/>
  <c r="BF1445" i="6"/>
  <c r="BF1446" i="6"/>
  <c r="BE1447" i="6"/>
  <c r="BF1447" i="6"/>
  <c r="BE1448" i="6"/>
  <c r="BF1448" i="6"/>
  <c r="BE1449" i="6"/>
  <c r="BF1449" i="6"/>
  <c r="BE1450" i="6"/>
  <c r="BF1450" i="6"/>
  <c r="BE1451" i="6"/>
  <c r="BF1451" i="6"/>
  <c r="BE1452" i="6"/>
  <c r="BF1452" i="6"/>
  <c r="BE1453" i="6"/>
  <c r="BF1453" i="6"/>
  <c r="BE1454" i="6"/>
  <c r="BF1454" i="6"/>
  <c r="BE1455" i="6"/>
  <c r="BF1455" i="6"/>
  <c r="BE1456" i="6"/>
  <c r="BF1456" i="6"/>
  <c r="BE1457" i="6"/>
  <c r="BF1457" i="6"/>
  <c r="BE1458" i="6"/>
  <c r="BF1458" i="6"/>
  <c r="BE1459" i="6"/>
  <c r="BF1459" i="6"/>
  <c r="BE1460" i="6"/>
  <c r="BF1460" i="6"/>
  <c r="BE1461" i="6"/>
  <c r="BE1462" i="6"/>
  <c r="BF1461" i="6"/>
  <c r="BF1462" i="6"/>
  <c r="BE1463" i="6"/>
  <c r="BF1463" i="6"/>
  <c r="BE1464" i="6"/>
  <c r="BF1464" i="6"/>
  <c r="BE1465" i="6"/>
  <c r="BE1466" i="6"/>
  <c r="BF1465" i="6"/>
  <c r="BF1466" i="6"/>
  <c r="BE1467" i="6"/>
  <c r="BF1467" i="6"/>
  <c r="BE1468" i="6"/>
  <c r="BF1468" i="6"/>
  <c r="BE1469" i="6"/>
  <c r="BE1470" i="6"/>
  <c r="BF1469" i="6"/>
  <c r="BF1470" i="6"/>
  <c r="BE1471" i="6"/>
  <c r="BF1471" i="6"/>
  <c r="BE1472" i="6"/>
  <c r="BF1472" i="6"/>
  <c r="BE1473" i="6"/>
  <c r="BF1473" i="6"/>
  <c r="BE1474" i="6"/>
  <c r="BF1474" i="6"/>
  <c r="BE1475" i="6"/>
  <c r="BF1475" i="6"/>
  <c r="BE1476" i="6"/>
  <c r="BF1476" i="6"/>
  <c r="BE1477" i="6"/>
  <c r="BE1478" i="6"/>
  <c r="BF1477" i="6"/>
  <c r="BF1478" i="6"/>
  <c r="BE1479" i="6"/>
  <c r="BF1479" i="6"/>
  <c r="BE1480" i="6"/>
  <c r="BF1480" i="6"/>
  <c r="BE1481" i="6"/>
  <c r="BF1481" i="6"/>
  <c r="BE1482" i="6"/>
  <c r="BF1482" i="6"/>
  <c r="BE1483" i="6"/>
  <c r="BF1483" i="6"/>
  <c r="BE1484" i="6"/>
  <c r="BF1484" i="6"/>
  <c r="BE1485" i="6"/>
  <c r="BF1485" i="6"/>
  <c r="BE1486" i="6"/>
  <c r="BF1486" i="6"/>
  <c r="BE1487" i="6"/>
  <c r="BF1487" i="6"/>
  <c r="BE1488" i="6"/>
  <c r="BF1488" i="6"/>
  <c r="BE1489" i="6"/>
  <c r="BF1489" i="6"/>
  <c r="BE1490" i="6"/>
  <c r="BF1490" i="6"/>
  <c r="BE1491" i="6"/>
  <c r="BF1491" i="6"/>
  <c r="BE1492" i="6"/>
  <c r="BF1492" i="6"/>
  <c r="BE1493" i="6"/>
  <c r="BE1494" i="6"/>
  <c r="BF1493" i="6"/>
  <c r="BF1494" i="6"/>
  <c r="BE1495" i="6"/>
  <c r="BF1495" i="6"/>
  <c r="BE1496" i="6"/>
  <c r="BF1496" i="6"/>
  <c r="BE1497" i="6"/>
  <c r="BE1498" i="6"/>
  <c r="BF1497" i="6"/>
  <c r="BF1498" i="6"/>
  <c r="BE1499" i="6"/>
  <c r="BF1499" i="6"/>
  <c r="BE1500" i="6"/>
  <c r="BF1500" i="6"/>
  <c r="BE1501" i="6"/>
  <c r="BE1502" i="6"/>
  <c r="BF1501" i="6"/>
  <c r="BF1502" i="6"/>
  <c r="BE1503" i="6"/>
  <c r="BF1503" i="6"/>
  <c r="BE1504" i="6"/>
  <c r="BF1504" i="6"/>
  <c r="BE1505" i="6"/>
  <c r="BF1505" i="6"/>
  <c r="BE1506" i="6"/>
  <c r="BF1506" i="6"/>
  <c r="BE1507" i="6"/>
  <c r="BF1507" i="6"/>
  <c r="BE1508" i="6"/>
  <c r="BF1508" i="6"/>
  <c r="BE1509" i="6"/>
  <c r="BE1510" i="6"/>
  <c r="BF1509" i="6"/>
  <c r="BF1510" i="6"/>
  <c r="BE1511" i="6"/>
  <c r="BF1511" i="6"/>
  <c r="BE1512" i="6"/>
  <c r="BF1512" i="6"/>
  <c r="BE1513" i="6"/>
  <c r="BF1513" i="6"/>
  <c r="BE1514" i="6"/>
  <c r="BF1514" i="6"/>
  <c r="BE1515" i="6"/>
  <c r="BF1515" i="6"/>
  <c r="BE1516" i="6"/>
  <c r="BF1516" i="6"/>
  <c r="BE1517" i="6"/>
  <c r="BF1517" i="6"/>
  <c r="BE1518" i="6"/>
  <c r="BF1518" i="6"/>
  <c r="BE1519" i="6"/>
  <c r="BF1519" i="6"/>
  <c r="BE1520" i="6"/>
  <c r="BF1520" i="6"/>
  <c r="BE1521" i="6"/>
  <c r="BF1521" i="6"/>
  <c r="BE1522" i="6"/>
  <c r="BF1522" i="6"/>
  <c r="BE1523" i="6"/>
  <c r="BF1523" i="6"/>
  <c r="BE1524" i="6"/>
  <c r="BF1524" i="6"/>
  <c r="BE1525" i="6"/>
  <c r="BE1526" i="6"/>
  <c r="BF1525" i="6"/>
  <c r="BF1526" i="6"/>
  <c r="BE1527" i="6"/>
  <c r="BF1527" i="6"/>
  <c r="BE1528" i="6"/>
  <c r="BF1528" i="6"/>
  <c r="BE1529" i="6"/>
  <c r="BE1530" i="6"/>
  <c r="BF1529" i="6"/>
  <c r="BF1530" i="6"/>
  <c r="BE1531" i="6"/>
  <c r="BF1531" i="6"/>
  <c r="BE1532" i="6"/>
  <c r="BF1532" i="6"/>
  <c r="BE1533" i="6"/>
  <c r="BF1533" i="6"/>
  <c r="BE1534" i="6"/>
  <c r="BF1534" i="6"/>
  <c r="BE1535" i="6"/>
  <c r="BF1535" i="6"/>
  <c r="BE1536" i="6"/>
  <c r="BF1536" i="6"/>
  <c r="BE1537" i="6"/>
  <c r="BF1537" i="6"/>
  <c r="BE1538" i="6"/>
  <c r="BF1538" i="6"/>
  <c r="BE1539" i="6"/>
  <c r="BF1539" i="6"/>
  <c r="BE1540" i="6"/>
  <c r="BF1540" i="6"/>
  <c r="BE1541" i="6"/>
  <c r="BE1542" i="6"/>
  <c r="BF1541" i="6"/>
  <c r="BF1542" i="6"/>
  <c r="BE1543" i="6"/>
  <c r="BF1543" i="6"/>
  <c r="BE1544" i="6"/>
  <c r="BF1544" i="6"/>
  <c r="BE1545" i="6"/>
  <c r="BF1545" i="6"/>
  <c r="BE1546" i="6"/>
  <c r="BF1546" i="6"/>
  <c r="BE1547" i="6"/>
  <c r="BF1547" i="6"/>
  <c r="BE1548" i="6"/>
  <c r="BF1548" i="6"/>
  <c r="BE1549" i="6"/>
  <c r="BE1550" i="6"/>
  <c r="BF1549" i="6"/>
  <c r="BF1550" i="6"/>
  <c r="BE1551" i="6"/>
  <c r="BF1551" i="6"/>
  <c r="BE1552" i="6"/>
  <c r="BF1552" i="6"/>
  <c r="BE1553" i="6"/>
  <c r="BF1553" i="6"/>
  <c r="BE1554" i="6"/>
  <c r="BF1554" i="6"/>
  <c r="BE1555" i="6"/>
  <c r="BF1555" i="6"/>
  <c r="BE1556" i="6"/>
  <c r="BF1556" i="6"/>
  <c r="BE1557" i="6"/>
  <c r="BE1558" i="6"/>
  <c r="BF1557" i="6"/>
  <c r="BF1558" i="6"/>
  <c r="BE1559" i="6"/>
  <c r="BF1559" i="6"/>
  <c r="BE1560" i="6"/>
  <c r="BF1560" i="6"/>
  <c r="BE1561" i="6"/>
  <c r="BF1561" i="6"/>
  <c r="BE1562" i="6"/>
  <c r="BF1562" i="6"/>
  <c r="BE1563" i="6"/>
  <c r="BF1563" i="6"/>
  <c r="BE1564" i="6"/>
  <c r="BF1564" i="6"/>
  <c r="BE1565" i="6"/>
  <c r="BE1566" i="6"/>
  <c r="BF1565" i="6"/>
  <c r="BF1566" i="6"/>
  <c r="BE1567" i="6"/>
  <c r="BF1567" i="6"/>
  <c r="BE1568" i="6"/>
  <c r="BF1568" i="6"/>
  <c r="BE1569" i="6"/>
  <c r="BF1569" i="6"/>
  <c r="BE1570" i="6"/>
  <c r="BF1570" i="6"/>
  <c r="BE1571" i="6"/>
  <c r="BF1571" i="6"/>
  <c r="BE1572" i="6"/>
  <c r="BF1572" i="6"/>
  <c r="BE1573" i="6"/>
  <c r="BE1574" i="6"/>
  <c r="BF1573" i="6"/>
  <c r="BF1574" i="6"/>
  <c r="BE1575" i="6"/>
  <c r="BF1575" i="6"/>
  <c r="BE1576" i="6"/>
  <c r="BF1576" i="6"/>
  <c r="BE1577" i="6"/>
  <c r="BE1578" i="6"/>
  <c r="BF1577" i="6"/>
  <c r="BF1578" i="6"/>
  <c r="BE1579" i="6"/>
  <c r="BF1579" i="6"/>
  <c r="BE1580" i="6"/>
  <c r="BF1580" i="6"/>
  <c r="BE1581" i="6"/>
  <c r="BF1581" i="6"/>
  <c r="BE1582" i="6"/>
  <c r="BF1582" i="6"/>
  <c r="BE1583" i="6"/>
  <c r="BF1583" i="6"/>
  <c r="BE1584" i="6"/>
  <c r="BF1584" i="6"/>
  <c r="BE1585" i="6"/>
  <c r="BF1585" i="6"/>
  <c r="BE1586" i="6"/>
  <c r="BF1586" i="6"/>
  <c r="BE1587" i="6"/>
  <c r="BF1587" i="6"/>
  <c r="BE1588" i="6"/>
  <c r="BF1588" i="6"/>
  <c r="BE1589" i="6"/>
  <c r="BE1590" i="6"/>
  <c r="BF1589" i="6"/>
  <c r="BF1590" i="6"/>
  <c r="BE1591" i="6"/>
  <c r="BF1591" i="6"/>
  <c r="BE1592" i="6"/>
  <c r="BF1592" i="6"/>
  <c r="BE1593" i="6"/>
  <c r="BE1594" i="6"/>
  <c r="BF1593" i="6"/>
  <c r="BF1594" i="6"/>
  <c r="BE1595" i="6"/>
  <c r="BF1595" i="6"/>
  <c r="BE1596" i="6"/>
  <c r="BF1596" i="6"/>
  <c r="BE1597" i="6"/>
  <c r="BE1598" i="6"/>
  <c r="BF1597" i="6"/>
  <c r="BF1598" i="6"/>
  <c r="BE1599" i="6"/>
  <c r="BF1599" i="6"/>
  <c r="BE1600" i="6"/>
  <c r="BF1600" i="6"/>
  <c r="BE1601" i="6"/>
  <c r="BF1601" i="6"/>
  <c r="BE1602" i="6"/>
  <c r="BF1602" i="6"/>
  <c r="BE1603" i="6"/>
  <c r="BF1603" i="6"/>
  <c r="BE1604" i="6"/>
  <c r="BF1604" i="6"/>
  <c r="BE1605" i="6"/>
  <c r="BE1606" i="6"/>
  <c r="BF1605" i="6"/>
  <c r="BF1606" i="6"/>
  <c r="BE1607" i="6"/>
  <c r="BF1607" i="6"/>
  <c r="BE1608" i="6"/>
  <c r="BF1608" i="6"/>
  <c r="BE1609" i="6"/>
  <c r="BF1609" i="6"/>
  <c r="BE1610" i="6"/>
  <c r="BF1610" i="6"/>
  <c r="BE1611" i="6"/>
  <c r="BF1611" i="6"/>
  <c r="BE1612" i="6"/>
  <c r="BF1612" i="6"/>
  <c r="BE1613" i="6"/>
  <c r="BF1613" i="6"/>
  <c r="BE1614" i="6"/>
  <c r="BF1614" i="6"/>
  <c r="BE1615" i="6"/>
  <c r="BF1615" i="6"/>
  <c r="BE1616" i="6"/>
  <c r="BF1616" i="6"/>
  <c r="BE1617" i="6"/>
  <c r="BF1617" i="6"/>
  <c r="BE1618" i="6"/>
  <c r="BF1618" i="6"/>
  <c r="BE1619" i="6"/>
  <c r="BF1619" i="6"/>
  <c r="BE1620" i="6"/>
  <c r="BF1620" i="6"/>
  <c r="BE1621" i="6"/>
  <c r="BE1622" i="6"/>
  <c r="BF1621" i="6"/>
  <c r="BF1622" i="6"/>
  <c r="BE1623" i="6"/>
  <c r="BF1623" i="6"/>
  <c r="BE1624" i="6"/>
  <c r="BF1624" i="6"/>
  <c r="BE1625" i="6"/>
  <c r="BE1626" i="6"/>
  <c r="BF1625" i="6"/>
  <c r="BF1626" i="6"/>
  <c r="BE1627" i="6"/>
  <c r="BF1627" i="6"/>
  <c r="BE1628" i="6"/>
  <c r="BF1628" i="6"/>
  <c r="BE1629" i="6"/>
  <c r="BE1630" i="6"/>
  <c r="BF1629" i="6"/>
  <c r="BF1630" i="6"/>
  <c r="BE1631" i="6"/>
  <c r="BF1631" i="6"/>
  <c r="BE1632" i="6"/>
  <c r="BF1632" i="6"/>
  <c r="BE1633" i="6"/>
  <c r="BF1633" i="6"/>
  <c r="BE1634" i="6"/>
  <c r="BF1634" i="6"/>
  <c r="BE1635" i="6"/>
  <c r="BF1635" i="6"/>
  <c r="BE1636" i="6"/>
  <c r="BF1636" i="6"/>
  <c r="BE1637" i="6"/>
  <c r="BE1638" i="6"/>
  <c r="BF1637" i="6"/>
  <c r="BF1638" i="6"/>
  <c r="BE1639" i="6"/>
  <c r="BF1639" i="6"/>
  <c r="BE1640" i="6"/>
  <c r="BF1640" i="6"/>
  <c r="BE1641" i="6"/>
  <c r="BF1641" i="6"/>
  <c r="BE1642" i="6"/>
  <c r="BF1642" i="6"/>
  <c r="BE1643" i="6"/>
  <c r="BF1643" i="6"/>
  <c r="BE1644" i="6"/>
  <c r="BF1644" i="6"/>
  <c r="BE1645" i="6"/>
  <c r="BF1645" i="6"/>
  <c r="BE1646" i="6"/>
  <c r="BF1646" i="6"/>
  <c r="BE1647" i="6"/>
  <c r="BF1647" i="6"/>
  <c r="BE1648" i="6"/>
  <c r="BF1648" i="6"/>
  <c r="BE1649" i="6"/>
  <c r="BF1649" i="6"/>
  <c r="BE1650" i="6"/>
  <c r="BF1650" i="6"/>
  <c r="BE1651" i="6"/>
  <c r="BF1651" i="6"/>
  <c r="BE1652" i="6"/>
  <c r="BF1652" i="6"/>
  <c r="BE1653" i="6"/>
  <c r="BE1654" i="6"/>
  <c r="BF1653" i="6"/>
  <c r="BF1654" i="6"/>
  <c r="BE1655" i="6"/>
  <c r="BF1655" i="6"/>
  <c r="BE1656" i="6"/>
  <c r="BF1656" i="6"/>
  <c r="BE1657" i="6"/>
  <c r="BE1658" i="6"/>
  <c r="BF1657" i="6"/>
  <c r="BF1658" i="6"/>
  <c r="BE1659" i="6"/>
  <c r="BF1659" i="6"/>
  <c r="BE1660" i="6"/>
  <c r="BF1660" i="6"/>
  <c r="BE1661" i="6"/>
  <c r="BE1662" i="6"/>
  <c r="BF1661" i="6"/>
  <c r="BF1662" i="6"/>
  <c r="BE1663" i="6"/>
  <c r="BF1663" i="6"/>
  <c r="BE1664" i="6"/>
  <c r="BF1664" i="6"/>
  <c r="BE1665" i="6"/>
  <c r="BF1665" i="6"/>
  <c r="BE1666" i="6"/>
  <c r="BF1666" i="6"/>
  <c r="BE1667" i="6"/>
  <c r="BF1667" i="6"/>
  <c r="BE1668" i="6"/>
  <c r="BF1668" i="6"/>
  <c r="BE1669" i="6"/>
  <c r="BE1670" i="6"/>
  <c r="BF1669" i="6"/>
  <c r="BF1670" i="6"/>
  <c r="BE1671" i="6"/>
  <c r="BF1671" i="6"/>
  <c r="BE1672" i="6"/>
  <c r="BF1672" i="6"/>
  <c r="BE1673" i="6"/>
  <c r="BF1673" i="6"/>
  <c r="BE1674" i="6"/>
  <c r="BF1674" i="6"/>
  <c r="BE1675" i="6"/>
  <c r="BF1675" i="6"/>
  <c r="BE1676" i="6"/>
  <c r="BF1676" i="6"/>
  <c r="BE1677" i="6"/>
  <c r="BF1677" i="6"/>
  <c r="BE1678" i="6"/>
  <c r="BF1678" i="6"/>
  <c r="BE1679" i="6"/>
  <c r="BF1679" i="6"/>
  <c r="BE1680" i="6"/>
  <c r="BF1680" i="6"/>
  <c r="BE1681" i="6"/>
  <c r="BF1681" i="6"/>
  <c r="BE1682" i="6"/>
  <c r="BF1682" i="6"/>
  <c r="BE1683" i="6"/>
  <c r="BF1683" i="6"/>
  <c r="BE1684" i="6"/>
  <c r="BF1684" i="6"/>
  <c r="BE1685" i="6"/>
  <c r="BE1686" i="6"/>
  <c r="BF1685" i="6"/>
  <c r="BF1686" i="6"/>
  <c r="BE1687" i="6"/>
  <c r="BF1687" i="6"/>
  <c r="BE1688" i="6"/>
  <c r="BF1688" i="6"/>
  <c r="BE1689" i="6"/>
  <c r="BF1689" i="6"/>
  <c r="BE1690" i="6"/>
  <c r="BF1690" i="6"/>
  <c r="BE1691" i="6"/>
  <c r="BF1691" i="6"/>
  <c r="BE1692" i="6"/>
  <c r="BF1692" i="6"/>
  <c r="BE1693" i="6"/>
  <c r="BE1694" i="6"/>
  <c r="BF1693" i="6"/>
  <c r="BF1694" i="6"/>
  <c r="BE1695" i="6"/>
  <c r="BF1695" i="6"/>
  <c r="BE1696" i="6"/>
  <c r="BF1696" i="6"/>
  <c r="BE1697" i="6"/>
  <c r="BF1697" i="6"/>
  <c r="BE1698" i="6"/>
  <c r="BF1698" i="6"/>
  <c r="BE1699" i="6"/>
  <c r="BF1699" i="6"/>
  <c r="BE1700" i="6"/>
  <c r="BF1700" i="6"/>
  <c r="BE1701" i="6"/>
  <c r="BE1702" i="6"/>
  <c r="BF1701" i="6"/>
  <c r="BF1702" i="6"/>
  <c r="BE1703" i="6"/>
  <c r="BF1703" i="6"/>
  <c r="BE1704" i="6"/>
  <c r="BF1704" i="6"/>
  <c r="BE1705" i="6"/>
  <c r="BE1706" i="6"/>
  <c r="BF1705" i="6"/>
  <c r="BF1706" i="6"/>
  <c r="BE1707" i="6"/>
  <c r="BF1707" i="6"/>
  <c r="BE1708" i="6"/>
  <c r="BF1708" i="6"/>
  <c r="BE1709" i="6"/>
  <c r="BF1709" i="6"/>
  <c r="BE1710" i="6"/>
  <c r="BF1710" i="6"/>
  <c r="BE1711" i="6"/>
  <c r="BF1711" i="6"/>
  <c r="BE1712" i="6"/>
  <c r="BF1712" i="6"/>
  <c r="BE1713" i="6"/>
  <c r="BF1713" i="6"/>
  <c r="BE1714" i="6"/>
  <c r="BF1714" i="6"/>
  <c r="BE1715" i="6"/>
  <c r="BF1715" i="6"/>
  <c r="BE1716" i="6"/>
  <c r="BF1716" i="6"/>
  <c r="BE1717" i="6"/>
  <c r="BE1718" i="6"/>
  <c r="BF1717" i="6"/>
  <c r="BF1718" i="6"/>
  <c r="BE1719" i="6"/>
  <c r="BF1719" i="6"/>
  <c r="BE1720" i="6"/>
  <c r="BF1720" i="6"/>
  <c r="BE1721" i="6"/>
  <c r="BE1722" i="6"/>
  <c r="BF1721" i="6"/>
  <c r="BF1722" i="6"/>
  <c r="BE1723" i="6"/>
  <c r="BF1723" i="6"/>
  <c r="BE1724" i="6"/>
  <c r="BF1724" i="6"/>
  <c r="BE1725" i="6"/>
  <c r="BE1726" i="6"/>
  <c r="BF1725" i="6"/>
  <c r="BF1726" i="6"/>
  <c r="BE1727" i="6"/>
  <c r="BF1727" i="6"/>
  <c r="BE1728" i="6"/>
  <c r="BF1728" i="6"/>
  <c r="BE1729" i="6"/>
  <c r="BF1729" i="6"/>
  <c r="BE1730" i="6"/>
  <c r="BF1730" i="6"/>
  <c r="BE1731" i="6"/>
  <c r="BF1731" i="6"/>
  <c r="BE1732" i="6"/>
  <c r="BF1732" i="6"/>
  <c r="BE1733" i="6"/>
  <c r="BE1734" i="6"/>
  <c r="BF1733" i="6"/>
  <c r="BF1734" i="6"/>
  <c r="BE1735" i="6"/>
  <c r="BF1735" i="6"/>
  <c r="BE1736" i="6"/>
  <c r="BF1736" i="6"/>
  <c r="BE1737" i="6"/>
  <c r="BF1737" i="6"/>
  <c r="BE1738" i="6"/>
  <c r="BF1738" i="6"/>
  <c r="BE1739" i="6"/>
  <c r="BF1739" i="6"/>
  <c r="BE1740" i="6"/>
  <c r="BF1740" i="6"/>
  <c r="BE1741" i="6"/>
  <c r="BF1741" i="6"/>
  <c r="BE1742" i="6"/>
  <c r="BF1742" i="6"/>
  <c r="BE1743" i="6"/>
  <c r="BF1743" i="6"/>
  <c r="BE1744" i="6"/>
  <c r="BF1744" i="6"/>
  <c r="BE1745" i="6"/>
  <c r="BF1745" i="6"/>
  <c r="BE1746" i="6"/>
  <c r="BF1746" i="6"/>
  <c r="BE1747" i="6"/>
  <c r="BF1747" i="6"/>
  <c r="BE1748" i="6"/>
  <c r="BF1748" i="6"/>
  <c r="BE1749" i="6"/>
  <c r="BE1750" i="6"/>
  <c r="BF1749" i="6"/>
  <c r="BF1750" i="6"/>
  <c r="BE1751" i="6"/>
  <c r="BF1751" i="6"/>
  <c r="BE1752" i="6"/>
  <c r="BF1752" i="6"/>
  <c r="BE1753" i="6"/>
  <c r="BF1753" i="6"/>
  <c r="BE1754" i="6"/>
  <c r="BF1754" i="6"/>
  <c r="BE1755" i="6"/>
  <c r="BF1755" i="6"/>
  <c r="BE1756" i="6"/>
  <c r="BF1756" i="6"/>
  <c r="BE1757" i="6"/>
  <c r="BE1758" i="6"/>
  <c r="BF1757" i="6"/>
  <c r="BF1758" i="6"/>
  <c r="BE1759" i="6"/>
  <c r="BF1759" i="6"/>
  <c r="BE1760" i="6"/>
  <c r="BF1760" i="6"/>
  <c r="BE1761" i="6"/>
  <c r="BF1761" i="6"/>
  <c r="BE1762" i="6"/>
  <c r="BF1762" i="6"/>
  <c r="BE1763" i="6"/>
  <c r="BF1763" i="6"/>
  <c r="BE1764" i="6"/>
  <c r="BF1764" i="6"/>
  <c r="BE1765" i="6"/>
  <c r="BE1766" i="6"/>
  <c r="BF1765" i="6"/>
  <c r="BF1766" i="6"/>
  <c r="BE1767" i="6"/>
  <c r="BF1767" i="6"/>
  <c r="BE1768" i="6"/>
  <c r="BF1768" i="6"/>
  <c r="BE1769" i="6"/>
  <c r="BF1769" i="6"/>
  <c r="BE1770" i="6"/>
  <c r="BF1770" i="6"/>
  <c r="BE1771" i="6"/>
  <c r="BF1771" i="6"/>
  <c r="BE1772" i="6"/>
  <c r="BF1772" i="6"/>
  <c r="BE1773" i="6"/>
  <c r="BF1773" i="6"/>
  <c r="BE1774" i="6"/>
  <c r="BF1774" i="6"/>
  <c r="BE1775" i="6"/>
  <c r="BF1775" i="6"/>
  <c r="BE1776" i="6"/>
  <c r="BF1776" i="6"/>
  <c r="BE1777" i="6"/>
  <c r="BF1777" i="6"/>
  <c r="BE1778" i="6"/>
  <c r="BF1778" i="6"/>
  <c r="BE1779" i="6"/>
  <c r="BF1779" i="6"/>
  <c r="BE1780" i="6"/>
  <c r="BF1780" i="6"/>
  <c r="BE1781" i="6"/>
  <c r="BE1782" i="6"/>
  <c r="BF1781" i="6"/>
  <c r="BF1782" i="6"/>
  <c r="BE1783" i="6"/>
  <c r="BF1783" i="6"/>
  <c r="BE1784" i="6"/>
  <c r="BF1784" i="6"/>
  <c r="BE1785" i="6"/>
  <c r="BE1786" i="6"/>
  <c r="BF1785" i="6"/>
  <c r="BF1786" i="6"/>
  <c r="BE1787" i="6"/>
  <c r="BF1787" i="6"/>
  <c r="BE1788" i="6"/>
  <c r="BF1788" i="6"/>
  <c r="BE1789" i="6"/>
  <c r="BF1789" i="6"/>
  <c r="BE1790" i="6"/>
  <c r="BF1790" i="6"/>
  <c r="BE1791" i="6"/>
  <c r="BF1791" i="6"/>
  <c r="BE1792" i="6"/>
  <c r="BF1792" i="6"/>
  <c r="BE1793" i="6"/>
  <c r="BF1793" i="6"/>
  <c r="BE1794" i="6"/>
  <c r="BF1794" i="6"/>
  <c r="BE1795" i="6"/>
  <c r="BF1795" i="6"/>
  <c r="BE1796" i="6"/>
  <c r="BF1796" i="6"/>
  <c r="BE1797" i="6"/>
  <c r="BE1798" i="6"/>
  <c r="BF1797" i="6"/>
  <c r="BF1798" i="6"/>
  <c r="BE1799" i="6"/>
  <c r="BF1799" i="6"/>
  <c r="BE1800" i="6"/>
  <c r="BF1800" i="6"/>
  <c r="BE1801" i="6"/>
  <c r="BF1801" i="6"/>
  <c r="BE1802" i="6"/>
  <c r="BF1802" i="6"/>
  <c r="BE1803" i="6"/>
  <c r="BF1803" i="6"/>
  <c r="BE1804" i="6"/>
  <c r="BF1804" i="6"/>
  <c r="BE1805" i="6"/>
  <c r="BE1806" i="6"/>
  <c r="BF1805" i="6"/>
  <c r="BF1806" i="6"/>
  <c r="BE1807" i="6"/>
  <c r="BF1807" i="6"/>
  <c r="BE1808" i="6"/>
  <c r="BF1808" i="6"/>
  <c r="BE1809" i="6"/>
  <c r="BF1809" i="6"/>
  <c r="BE1810" i="6"/>
  <c r="BF1810" i="6"/>
  <c r="BE1811" i="6"/>
  <c r="BF1811" i="6"/>
  <c r="BE1812" i="6"/>
  <c r="BF1812" i="6"/>
  <c r="BE1813" i="6"/>
  <c r="BE1814" i="6"/>
  <c r="BF1813" i="6"/>
  <c r="BF1814" i="6"/>
  <c r="BE1815" i="6"/>
  <c r="BF1815" i="6"/>
  <c r="BE1816" i="6"/>
  <c r="BF1816" i="6"/>
  <c r="BE1817" i="6"/>
  <c r="BF1817" i="6"/>
  <c r="BE1818" i="6"/>
  <c r="BF1818" i="6"/>
  <c r="BE1819" i="6"/>
  <c r="BF1819" i="6"/>
  <c r="BE1820" i="6"/>
  <c r="BF1820" i="6"/>
  <c r="BE1821" i="6"/>
  <c r="BE1822" i="6"/>
  <c r="BF1821" i="6"/>
  <c r="BF1822" i="6"/>
  <c r="BE1823" i="6"/>
  <c r="BF1823" i="6"/>
  <c r="BE1824" i="6"/>
  <c r="BF1824" i="6"/>
  <c r="BE1825" i="6"/>
  <c r="BF1825" i="6"/>
  <c r="BE1826" i="6"/>
  <c r="BF1826" i="6"/>
  <c r="BE1827" i="6"/>
  <c r="BF1827" i="6"/>
  <c r="BE1828" i="6"/>
  <c r="BF1828" i="6"/>
  <c r="BE1829" i="6"/>
  <c r="BE1830" i="6"/>
  <c r="BF1829" i="6"/>
  <c r="BF1830" i="6"/>
  <c r="BE1831" i="6"/>
  <c r="BF1831" i="6"/>
  <c r="BE1832" i="6"/>
  <c r="BF1832" i="6"/>
  <c r="BE1833" i="6"/>
  <c r="BE1834" i="6"/>
  <c r="BF1833" i="6"/>
  <c r="BF1834" i="6"/>
  <c r="BE1835" i="6"/>
  <c r="BF1835" i="6"/>
  <c r="BE1836" i="6"/>
  <c r="BF1836" i="6"/>
  <c r="BE1837" i="6"/>
  <c r="BF1837" i="6"/>
  <c r="BE1838" i="6"/>
  <c r="BF1838" i="6"/>
  <c r="BE1839" i="6"/>
  <c r="BF1839" i="6"/>
  <c r="BE1840" i="6"/>
  <c r="BF1840" i="6"/>
  <c r="BE1841" i="6"/>
  <c r="BF1841" i="6"/>
  <c r="BE1842" i="6"/>
  <c r="BF1842" i="6"/>
  <c r="BE1843" i="6"/>
  <c r="BF1843" i="6"/>
  <c r="BE1844" i="6"/>
  <c r="BF1844" i="6"/>
  <c r="BE1845" i="6"/>
  <c r="BE1846" i="6"/>
  <c r="BF1845" i="6"/>
  <c r="BF1846" i="6"/>
  <c r="BE1847" i="6"/>
  <c r="BF1847" i="6"/>
  <c r="BE1848" i="6"/>
  <c r="BF1848" i="6"/>
  <c r="BE1849" i="6"/>
  <c r="BE1850" i="6"/>
  <c r="BF1849" i="6"/>
  <c r="BF1850" i="6"/>
  <c r="BE1851" i="6"/>
  <c r="BF1851" i="6"/>
  <c r="BE1852" i="6"/>
  <c r="BF1852" i="6"/>
  <c r="BE1853" i="6"/>
  <c r="BE1854" i="6"/>
  <c r="BF1853" i="6"/>
  <c r="BF1854" i="6"/>
  <c r="BE1855" i="6"/>
  <c r="BF1855" i="6"/>
  <c r="BE1856" i="6"/>
  <c r="BF1856" i="6"/>
  <c r="BE1857" i="6"/>
  <c r="BF1857" i="6"/>
  <c r="BE1858" i="6"/>
  <c r="BF1858" i="6"/>
  <c r="BE1859" i="6"/>
  <c r="BF1859" i="6"/>
  <c r="BE1860" i="6"/>
  <c r="BF1860" i="6"/>
  <c r="BE1861" i="6"/>
  <c r="BE1862" i="6"/>
  <c r="BF1861" i="6"/>
  <c r="BF1862" i="6"/>
  <c r="BE1863" i="6"/>
  <c r="BF1863" i="6"/>
  <c r="BE1864" i="6"/>
  <c r="BF1864" i="6"/>
  <c r="BE1865" i="6"/>
  <c r="BF1865" i="6"/>
  <c r="BE1866" i="6"/>
  <c r="BF1866" i="6"/>
  <c r="BE1867" i="6"/>
  <c r="BF1867" i="6"/>
  <c r="BE1868" i="6"/>
  <c r="BF1868" i="6"/>
  <c r="BE1869" i="6"/>
  <c r="BF1869" i="6"/>
  <c r="BE1870" i="6"/>
  <c r="BF1870" i="6"/>
  <c r="BE1871" i="6"/>
  <c r="BF1871" i="6"/>
  <c r="BE1872" i="6"/>
  <c r="BF1872" i="6"/>
  <c r="BE1873" i="6"/>
  <c r="BE1874" i="6"/>
  <c r="BF1873" i="6"/>
  <c r="BF1874" i="6"/>
  <c r="BE1875" i="6"/>
  <c r="BF1875" i="6"/>
  <c r="BE1876" i="6"/>
  <c r="BF1876" i="6"/>
  <c r="BE1877" i="6"/>
  <c r="BF1877" i="6"/>
  <c r="BE1878" i="6"/>
  <c r="BF1878" i="6"/>
  <c r="BE1879" i="6"/>
  <c r="BF1879" i="6"/>
  <c r="BE1880" i="6"/>
  <c r="BF1880" i="6"/>
  <c r="BE1881" i="6"/>
  <c r="BE1882" i="6"/>
  <c r="BF1881" i="6"/>
  <c r="BF1882" i="6"/>
  <c r="BE1883" i="6"/>
  <c r="BF1883" i="6"/>
  <c r="BE1884" i="6"/>
  <c r="BF1884" i="6"/>
  <c r="BE1885" i="6"/>
  <c r="BF1885" i="6"/>
  <c r="BE1886" i="6"/>
  <c r="BF1886" i="6"/>
  <c r="BE1887" i="6"/>
  <c r="BF1887" i="6"/>
  <c r="BE1888" i="6"/>
  <c r="BF1888" i="6"/>
  <c r="BE1889" i="6"/>
  <c r="BE1890" i="6"/>
  <c r="BF1889" i="6"/>
  <c r="BF1890" i="6"/>
  <c r="BE1891" i="6"/>
  <c r="BF1891" i="6"/>
  <c r="BE1892" i="6"/>
  <c r="BF1892" i="6"/>
  <c r="BE1893" i="6"/>
  <c r="BF1893" i="6"/>
  <c r="BE1894" i="6"/>
  <c r="BF1894" i="6"/>
  <c r="BE1895" i="6"/>
  <c r="BF1895" i="6"/>
  <c r="BE1896" i="6"/>
  <c r="BF1896" i="6"/>
  <c r="BE1897" i="6"/>
  <c r="BE1898" i="6"/>
  <c r="BF1897" i="6"/>
  <c r="BF1898" i="6"/>
  <c r="BE1899" i="6"/>
  <c r="BF1899" i="6"/>
  <c r="BE1900" i="6"/>
  <c r="BF1900" i="6"/>
  <c r="BE1901" i="6"/>
  <c r="BF1901" i="6"/>
  <c r="BE1902" i="6"/>
  <c r="BF1902" i="6"/>
  <c r="BE1903" i="6"/>
  <c r="BF1903" i="6"/>
  <c r="BE1904" i="6"/>
  <c r="BF1904" i="6"/>
  <c r="BE1905" i="6"/>
  <c r="BE1906" i="6"/>
  <c r="BF1905" i="6"/>
  <c r="BF1906" i="6"/>
  <c r="BE1907" i="6"/>
  <c r="BF1907" i="6"/>
  <c r="BE1908" i="6"/>
  <c r="BF1908" i="6"/>
  <c r="BE1909" i="6"/>
  <c r="BE1910" i="6"/>
  <c r="BF1909" i="6"/>
  <c r="BF1910" i="6"/>
  <c r="BE1911" i="6"/>
  <c r="BF1911" i="6"/>
  <c r="BE1912" i="6"/>
  <c r="BF1912" i="6"/>
  <c r="BE1913" i="6"/>
  <c r="BF1913" i="6"/>
  <c r="BE1914" i="6"/>
  <c r="BF1914" i="6"/>
  <c r="BE1915" i="6"/>
  <c r="BF1915" i="6"/>
  <c r="BE1916" i="6"/>
  <c r="BF1916" i="6"/>
  <c r="BE1917" i="6"/>
  <c r="BF1917" i="6"/>
  <c r="BE1918" i="6"/>
  <c r="BF1918" i="6"/>
  <c r="BE1919" i="6"/>
  <c r="BF1919" i="6"/>
  <c r="BE1920" i="6"/>
  <c r="BF1920" i="6"/>
  <c r="BE1921" i="6"/>
  <c r="BE1922" i="6"/>
  <c r="BF1921" i="6"/>
  <c r="BF1922" i="6"/>
  <c r="BE1923" i="6"/>
  <c r="BF1923" i="6"/>
  <c r="BE1924" i="6"/>
  <c r="BF1924" i="6"/>
  <c r="BE1925" i="6"/>
  <c r="BE1926" i="6"/>
  <c r="BF1925" i="6"/>
  <c r="BF1926" i="6"/>
  <c r="BE1927" i="6"/>
  <c r="BF1927" i="6"/>
  <c r="BE1928" i="6"/>
  <c r="BF1928" i="6"/>
  <c r="BE1929" i="6"/>
  <c r="BE1930" i="6"/>
  <c r="BF1929" i="6"/>
  <c r="BF1930" i="6"/>
  <c r="BE1931" i="6"/>
  <c r="BF1931" i="6"/>
  <c r="BE1932" i="6"/>
  <c r="BF1932" i="6"/>
  <c r="BE1933" i="6"/>
  <c r="BF1933" i="6"/>
  <c r="BE1934" i="6"/>
  <c r="BF1934" i="6"/>
  <c r="BE1935" i="6"/>
  <c r="BF1935" i="6"/>
  <c r="BE1936" i="6"/>
  <c r="BF1936" i="6"/>
  <c r="BE1937" i="6"/>
  <c r="BE1938" i="6"/>
  <c r="BF1937" i="6"/>
  <c r="BF1938" i="6"/>
  <c r="BE1939" i="6"/>
  <c r="BF1939" i="6"/>
  <c r="BE1940" i="6"/>
  <c r="BF1940" i="6"/>
  <c r="BE1941" i="6"/>
  <c r="BF1941" i="6"/>
  <c r="BE1942" i="6"/>
  <c r="BF1942" i="6"/>
  <c r="BE1943" i="6"/>
  <c r="BF1943" i="6"/>
  <c r="BE1944" i="6"/>
  <c r="BF1944" i="6"/>
  <c r="BE1945" i="6"/>
  <c r="BE1946" i="6"/>
  <c r="BF1945" i="6"/>
  <c r="BF1946" i="6"/>
  <c r="BE1947" i="6"/>
  <c r="BF1947" i="6"/>
  <c r="BE1948" i="6"/>
  <c r="BF1948" i="6"/>
  <c r="BE1949" i="6"/>
  <c r="BF1949" i="6"/>
  <c r="BE1950" i="6"/>
  <c r="BF1950" i="6"/>
  <c r="BE1951" i="6"/>
  <c r="BF1951" i="6"/>
  <c r="BE1952" i="6"/>
  <c r="BF1952" i="6"/>
  <c r="BE1953" i="6"/>
  <c r="BE1954" i="6"/>
  <c r="BF1953" i="6"/>
  <c r="BF1954" i="6"/>
  <c r="BE1955" i="6"/>
  <c r="BF1955" i="6"/>
  <c r="BE1956" i="6"/>
  <c r="BF1956" i="6"/>
  <c r="BE1957" i="6"/>
  <c r="BE1958" i="6"/>
  <c r="BF1957" i="6"/>
  <c r="BF1958" i="6"/>
  <c r="BE1959" i="6"/>
  <c r="BF1959" i="6"/>
  <c r="BE1960" i="6"/>
  <c r="BF1960" i="6"/>
  <c r="BE1961" i="6"/>
  <c r="BE1962" i="6"/>
  <c r="BF1961" i="6"/>
  <c r="BF1962" i="6"/>
  <c r="BE1963" i="6"/>
  <c r="BF1963" i="6"/>
  <c r="BE1964" i="6"/>
  <c r="BF1964" i="6"/>
  <c r="BE1965" i="6"/>
  <c r="BF1965" i="6"/>
  <c r="BE1966" i="6"/>
  <c r="BF1966" i="6"/>
  <c r="BE1967" i="6"/>
  <c r="BF1967" i="6"/>
  <c r="BE1968" i="6"/>
  <c r="BF1968" i="6"/>
  <c r="BE1969" i="6"/>
  <c r="BE1970" i="6"/>
  <c r="BF1969" i="6"/>
  <c r="BF1970" i="6"/>
  <c r="BE1971" i="6"/>
  <c r="BF1971" i="6"/>
  <c r="BE1972" i="6"/>
  <c r="BF1972" i="6"/>
  <c r="BE1973" i="6"/>
  <c r="BF1973" i="6"/>
  <c r="BE1974" i="6"/>
  <c r="BF1974" i="6"/>
  <c r="BE1975" i="6"/>
  <c r="BF1975" i="6"/>
  <c r="BE1976" i="6"/>
  <c r="BF1976" i="6"/>
  <c r="BE1977" i="6"/>
  <c r="BF1977" i="6"/>
  <c r="BE1978" i="6"/>
  <c r="BF1978" i="6"/>
  <c r="BE1979" i="6"/>
  <c r="BF1979" i="6"/>
  <c r="BE1980" i="6"/>
  <c r="BF1980" i="6"/>
  <c r="BE1981" i="6"/>
  <c r="BF1981" i="6"/>
  <c r="BE1982" i="6"/>
  <c r="BF1982" i="6"/>
  <c r="BE1983" i="6"/>
  <c r="BF1983" i="6"/>
  <c r="BE1984" i="6"/>
  <c r="BF1984" i="6"/>
  <c r="BE1985" i="6"/>
  <c r="BE1986" i="6"/>
  <c r="BF1985" i="6"/>
  <c r="BF1986" i="6"/>
  <c r="BE1987" i="6"/>
  <c r="BF1987" i="6"/>
  <c r="BE1988" i="6"/>
  <c r="BF1988" i="6"/>
  <c r="BE1989" i="6"/>
  <c r="BE1990" i="6"/>
  <c r="BF1989" i="6"/>
  <c r="BF1990" i="6"/>
  <c r="BE1991" i="6"/>
  <c r="BF1991" i="6"/>
  <c r="BE1992" i="6"/>
  <c r="BF1992" i="6"/>
  <c r="BE1993" i="6"/>
  <c r="BF1993" i="6"/>
  <c r="BE1994" i="6"/>
  <c r="BF1994" i="6"/>
  <c r="BE1995" i="6"/>
  <c r="BF1995" i="6"/>
  <c r="BE1996" i="6"/>
  <c r="BF1996" i="6"/>
  <c r="BE1997" i="6"/>
  <c r="BF1997" i="6"/>
  <c r="BE1998" i="6"/>
  <c r="BF1998" i="6"/>
  <c r="BE1999" i="6"/>
  <c r="BF1999" i="6"/>
  <c r="BE2000" i="6"/>
  <c r="BF2000" i="6"/>
  <c r="BE2001" i="6"/>
  <c r="BE2002" i="6"/>
  <c r="BF2001" i="6"/>
  <c r="BF2002" i="6"/>
  <c r="BE2003" i="6"/>
  <c r="BF2003" i="6"/>
  <c r="BE2004" i="6"/>
  <c r="BF2004" i="6"/>
  <c r="BE2005" i="6"/>
  <c r="BF2005" i="6"/>
  <c r="BE2006" i="6"/>
  <c r="BF2006" i="6"/>
  <c r="BE2007" i="6"/>
  <c r="BF2007" i="6"/>
  <c r="BE2008" i="6"/>
  <c r="BF2008" i="6"/>
  <c r="BE2009" i="6"/>
  <c r="BE2010" i="6"/>
  <c r="BF2009" i="6"/>
  <c r="BF2010" i="6"/>
  <c r="BE2011" i="6"/>
  <c r="BF2011" i="6"/>
  <c r="BE2012" i="6"/>
  <c r="BF2012" i="6"/>
  <c r="BE2013" i="6"/>
  <c r="BF2013" i="6"/>
  <c r="BE2014" i="6"/>
  <c r="BF2014" i="6"/>
  <c r="BE2015" i="6"/>
  <c r="BF2015" i="6"/>
  <c r="BE2016" i="6"/>
  <c r="BF2016" i="6"/>
  <c r="BE2017" i="6"/>
  <c r="BE2018" i="6"/>
  <c r="BF2017" i="6"/>
  <c r="BF2018" i="6"/>
  <c r="BE2019" i="6"/>
  <c r="BF2019" i="6"/>
  <c r="BE2020" i="6"/>
  <c r="BF2020" i="6"/>
  <c r="BE2021" i="6"/>
  <c r="BE2022" i="6"/>
  <c r="BF2021" i="6"/>
  <c r="BF2022" i="6"/>
  <c r="BE2023" i="6"/>
  <c r="BF2023" i="6"/>
  <c r="BE2024" i="6"/>
  <c r="BF2024" i="6"/>
  <c r="BE2025" i="6"/>
  <c r="BE2026" i="6"/>
  <c r="BF2025" i="6"/>
  <c r="BF2026" i="6"/>
  <c r="BE2027" i="6"/>
  <c r="BF2027" i="6"/>
  <c r="BE2028" i="6"/>
  <c r="BF2028" i="6"/>
  <c r="BE2029" i="6"/>
  <c r="BF2029" i="6"/>
  <c r="BE2030" i="6"/>
  <c r="BF2030" i="6"/>
  <c r="BE2031" i="6"/>
  <c r="BF2031" i="6"/>
  <c r="BE2032" i="6"/>
  <c r="BF2032" i="6"/>
  <c r="BE2033" i="6"/>
  <c r="BE2034" i="6"/>
  <c r="BF2033" i="6"/>
  <c r="BF2034" i="6"/>
  <c r="BE2035" i="6"/>
  <c r="BF2035" i="6"/>
  <c r="BE2036" i="6"/>
  <c r="BF2036" i="6"/>
  <c r="BE2037" i="6"/>
  <c r="BF2037" i="6"/>
  <c r="BE2038" i="6"/>
  <c r="BF2038" i="6"/>
  <c r="BE2039" i="6"/>
  <c r="BF2039" i="6"/>
  <c r="BE2040" i="6"/>
  <c r="BF2040" i="6"/>
  <c r="BE2041" i="6"/>
  <c r="BF2041" i="6"/>
  <c r="BE2042" i="6"/>
  <c r="BF2042" i="6"/>
  <c r="BE2043" i="6"/>
  <c r="BF2043" i="6"/>
  <c r="BE2044" i="6"/>
  <c r="BF2044" i="6"/>
  <c r="BE2045" i="6"/>
  <c r="BF2045" i="6"/>
  <c r="BE2046" i="6"/>
  <c r="BF2046" i="6"/>
  <c r="BE2047" i="6"/>
  <c r="BF2047" i="6"/>
  <c r="BE2048" i="6"/>
  <c r="BF2048" i="6"/>
  <c r="BE2049" i="6"/>
  <c r="BE2050" i="6"/>
  <c r="BF2049" i="6"/>
  <c r="BF2050" i="6"/>
  <c r="BE2051" i="6"/>
  <c r="BF2051" i="6"/>
  <c r="BE2052" i="6"/>
  <c r="BF2052" i="6"/>
  <c r="BE2053" i="6"/>
  <c r="BE2054" i="6"/>
  <c r="BF2053" i="6"/>
  <c r="BF2054" i="6"/>
  <c r="BE2055" i="6"/>
  <c r="BF2055" i="6"/>
  <c r="BE2056" i="6"/>
  <c r="BF2056" i="6"/>
  <c r="BE2057" i="6"/>
  <c r="BE2058" i="6"/>
  <c r="BF2057" i="6"/>
  <c r="BF2058" i="6"/>
  <c r="BE2059" i="6"/>
  <c r="BF2059" i="6"/>
  <c r="BE2060" i="6"/>
  <c r="BF2060" i="6"/>
  <c r="BE2061" i="6"/>
  <c r="BF2061" i="6"/>
  <c r="BE2062" i="6"/>
  <c r="BF2062" i="6"/>
  <c r="BE2063" i="6"/>
  <c r="BF2063" i="6"/>
  <c r="BE2064" i="6"/>
  <c r="BF2064" i="6"/>
  <c r="BE2065" i="6"/>
  <c r="BE2066" i="6"/>
  <c r="BF2065" i="6"/>
  <c r="BF2066" i="6"/>
  <c r="BE2067" i="6"/>
  <c r="BF2067" i="6"/>
  <c r="BE2068" i="6"/>
  <c r="BF2068" i="6"/>
  <c r="BE2069" i="6"/>
  <c r="BF2069" i="6"/>
  <c r="BE2070" i="6"/>
  <c r="BE2071" i="6"/>
  <c r="BF2070" i="6"/>
  <c r="BF2071" i="6"/>
  <c r="BE2072" i="6"/>
  <c r="BE2073" i="6"/>
  <c r="BF2072" i="6"/>
  <c r="BF2073" i="6"/>
  <c r="BE2074" i="6"/>
  <c r="BE2075" i="6"/>
  <c r="BF2074" i="6"/>
  <c r="BE2076" i="6"/>
  <c r="BF2075" i="6"/>
  <c r="BE2077" i="6"/>
  <c r="BF2076" i="6"/>
  <c r="BF2077" i="6"/>
  <c r="BE2078" i="6"/>
  <c r="BE2079" i="6"/>
  <c r="BF2078" i="6"/>
  <c r="BF2079" i="6"/>
  <c r="BE2080" i="6"/>
  <c r="BE2081" i="6"/>
  <c r="BF2080" i="6"/>
  <c r="BF2081" i="6"/>
  <c r="BE2082" i="6"/>
  <c r="BE2083" i="6"/>
  <c r="BF2082" i="6"/>
  <c r="BE2084" i="6"/>
  <c r="BF2083" i="6"/>
  <c r="BE2085" i="6"/>
  <c r="BF2084" i="6"/>
  <c r="BE2086" i="6"/>
  <c r="BF2085" i="6"/>
  <c r="BE2087" i="6"/>
  <c r="BF2086" i="6"/>
  <c r="BE2088" i="6"/>
  <c r="BF2087" i="6"/>
  <c r="BE2089" i="6"/>
  <c r="BF2088" i="6"/>
  <c r="BF2089" i="6"/>
  <c r="BE2090" i="6"/>
  <c r="BE2091" i="6"/>
  <c r="BF2090" i="6"/>
  <c r="BE2092" i="6"/>
  <c r="BF2091" i="6"/>
  <c r="BE2093" i="6"/>
  <c r="BF2092" i="6"/>
  <c r="BF2093" i="6"/>
  <c r="BE2094" i="6"/>
  <c r="BE2095" i="6"/>
  <c r="BF2094" i="6"/>
  <c r="BF2095" i="6"/>
  <c r="BE2096" i="6"/>
  <c r="BE2097" i="6"/>
  <c r="BF2096" i="6"/>
  <c r="BF2097" i="6"/>
  <c r="BE2098" i="6"/>
  <c r="BF2098" i="6"/>
  <c r="BE2099" i="6"/>
  <c r="BF2099" i="6"/>
  <c r="BE2100" i="6"/>
  <c r="BE2101" i="6"/>
  <c r="BF2100" i="6"/>
  <c r="BF2101" i="6"/>
  <c r="BE2102" i="6"/>
  <c r="BE2103" i="6"/>
  <c r="BF2102" i="6"/>
  <c r="BF2103" i="6"/>
  <c r="BE2104" i="6"/>
  <c r="BF2104" i="6"/>
  <c r="BE2105" i="6"/>
  <c r="BF2105" i="6"/>
  <c r="BE2106" i="6"/>
  <c r="BF2106" i="6"/>
  <c r="BE2107" i="6"/>
  <c r="BF2107" i="6"/>
  <c r="BE2108" i="6"/>
  <c r="BE2109" i="6"/>
  <c r="BF2108" i="6"/>
  <c r="BF2109" i="6"/>
  <c r="BE2110" i="6"/>
  <c r="BF2110" i="6"/>
  <c r="BE2111" i="6"/>
  <c r="BF2111" i="6"/>
  <c r="BE2112" i="6"/>
  <c r="BF2112" i="6"/>
  <c r="BE2113" i="6"/>
  <c r="BF2113" i="6"/>
  <c r="BE2114" i="6"/>
  <c r="BF2114" i="6"/>
  <c r="BE2115" i="6"/>
  <c r="BF2115" i="6"/>
  <c r="BE2116" i="6"/>
  <c r="BE2117" i="6"/>
  <c r="BF2116" i="6"/>
  <c r="BF2117" i="6"/>
  <c r="BE2118" i="6"/>
  <c r="BF2118" i="6"/>
  <c r="BE2119" i="6"/>
  <c r="BF2119" i="6"/>
  <c r="BE2120" i="6"/>
  <c r="BE2121" i="6"/>
  <c r="BF2120" i="6"/>
  <c r="BF2121" i="6"/>
  <c r="BE2122" i="6"/>
  <c r="BF2122" i="6"/>
  <c r="BE2123" i="6"/>
  <c r="BF2123" i="6"/>
  <c r="BE2124" i="6"/>
  <c r="BE2125" i="6"/>
  <c r="BF2124" i="6"/>
  <c r="BF2125" i="6"/>
  <c r="BE2126" i="6"/>
  <c r="BF2126" i="6"/>
  <c r="BE2127" i="6"/>
  <c r="BF2127" i="6"/>
  <c r="BE2128" i="6"/>
  <c r="BF2128" i="6"/>
  <c r="BE2129" i="6"/>
  <c r="BF2129" i="6"/>
  <c r="BE2130" i="6"/>
  <c r="BF2130" i="6"/>
  <c r="BE2131" i="6"/>
  <c r="BF2131" i="6"/>
  <c r="BE2132" i="6"/>
  <c r="BE2133" i="6"/>
  <c r="BF2132" i="6"/>
  <c r="BF2133" i="6"/>
  <c r="BE2134" i="6"/>
  <c r="BE2135" i="6"/>
  <c r="BF2134" i="6"/>
  <c r="BF2135" i="6"/>
  <c r="BE2136" i="6"/>
  <c r="BF2136" i="6"/>
  <c r="BE2137" i="6"/>
  <c r="BF2137" i="6"/>
  <c r="BE2138" i="6"/>
  <c r="BF2138" i="6"/>
  <c r="BE2139" i="6"/>
  <c r="BF2139" i="6"/>
  <c r="BE2140" i="6"/>
  <c r="BE2141" i="6"/>
  <c r="BF2140" i="6"/>
  <c r="BF2141" i="6"/>
  <c r="BE2142" i="6"/>
  <c r="BF2142" i="6"/>
  <c r="BE2143" i="6"/>
  <c r="BF2143" i="6"/>
  <c r="BE2144" i="6"/>
  <c r="BE2145" i="6"/>
  <c r="BF2144" i="6"/>
  <c r="BF2145" i="6"/>
  <c r="BE2146" i="6"/>
  <c r="BF2146" i="6"/>
  <c r="BE2147" i="6"/>
  <c r="BF2147" i="6"/>
  <c r="BE2148" i="6"/>
  <c r="BE2149" i="6"/>
  <c r="BF2148" i="6"/>
  <c r="BF2149" i="6"/>
  <c r="BE2150" i="6"/>
  <c r="BF2150" i="6"/>
  <c r="BE2151" i="6"/>
  <c r="BF2151" i="6"/>
  <c r="BE2152" i="6"/>
  <c r="BE2153" i="6"/>
  <c r="BF2152" i="6"/>
  <c r="BF2153" i="6"/>
  <c r="BE2154" i="6"/>
  <c r="BF2154" i="6"/>
  <c r="BE2155" i="6"/>
  <c r="BF2155" i="6"/>
  <c r="BE2156" i="6"/>
  <c r="BE2157" i="6"/>
  <c r="BF2156" i="6"/>
  <c r="BF2157" i="6"/>
  <c r="BE2158" i="6"/>
  <c r="BE2159" i="6"/>
  <c r="BF2158" i="6"/>
  <c r="BF2159" i="6"/>
  <c r="BE2160" i="6"/>
  <c r="BF2160" i="6"/>
  <c r="BE2161" i="6"/>
  <c r="BF2161" i="6"/>
  <c r="BE2162" i="6"/>
  <c r="BF2162" i="6"/>
  <c r="BE2163" i="6"/>
  <c r="BF2163" i="6"/>
  <c r="BE2164" i="6"/>
  <c r="BE2165" i="6"/>
  <c r="BF2164" i="6"/>
  <c r="BF2165" i="6"/>
  <c r="BE2166" i="6"/>
  <c r="BE2167" i="6"/>
  <c r="BF2166" i="6"/>
  <c r="BF2167" i="6"/>
  <c r="BE2168" i="6"/>
  <c r="BE2169" i="6"/>
  <c r="BF2168" i="6"/>
  <c r="BF2169" i="6"/>
  <c r="BE2170" i="6"/>
  <c r="BF2170" i="6"/>
  <c r="BE2171" i="6"/>
  <c r="BF2171" i="6"/>
  <c r="BE2172" i="6"/>
  <c r="BE2173" i="6"/>
  <c r="BF2172" i="6"/>
  <c r="BF2173" i="6"/>
  <c r="BE2174" i="6"/>
  <c r="BF2174" i="6"/>
  <c r="BE2175" i="6"/>
  <c r="BF2175" i="6"/>
  <c r="BE2176" i="6"/>
  <c r="BF2176" i="6"/>
  <c r="BE2177" i="6"/>
  <c r="BF2177" i="6"/>
  <c r="BE2178" i="6"/>
  <c r="BF2178" i="6"/>
  <c r="BE2179" i="6"/>
  <c r="BF2179" i="6"/>
  <c r="BE2180" i="6"/>
  <c r="BE2181" i="6"/>
  <c r="BF2180" i="6"/>
  <c r="BF2181" i="6"/>
  <c r="BE2182" i="6"/>
  <c r="BE2183" i="6"/>
  <c r="BF2182" i="6"/>
  <c r="BF2183" i="6"/>
  <c r="BE2184" i="6"/>
  <c r="BE2185" i="6"/>
  <c r="BF2184" i="6"/>
  <c r="BF2185" i="6"/>
  <c r="BE2186" i="6"/>
  <c r="BF2186" i="6"/>
  <c r="BE2187" i="6"/>
  <c r="BF2187" i="6"/>
  <c r="BE2188" i="6"/>
  <c r="BE2189" i="6"/>
  <c r="BF2188" i="6"/>
  <c r="BF2189" i="6"/>
  <c r="BE2190" i="6"/>
  <c r="BE2191" i="6"/>
  <c r="BF2190" i="6"/>
  <c r="BF2191" i="6"/>
  <c r="BE2192" i="6"/>
  <c r="BF2192" i="6"/>
  <c r="BE2193" i="6"/>
  <c r="BF2193" i="6"/>
  <c r="BE2194" i="6"/>
  <c r="BF2194" i="6"/>
  <c r="BE2195" i="6"/>
  <c r="BF2195" i="6"/>
  <c r="BE2196" i="6"/>
  <c r="BE2197" i="6"/>
  <c r="BF2196" i="6"/>
  <c r="BF2197" i="6"/>
  <c r="BE2198" i="6"/>
  <c r="BE2199" i="6"/>
  <c r="BF2198" i="6"/>
  <c r="BF2199" i="6"/>
  <c r="BE2200" i="6"/>
  <c r="BE2201" i="6"/>
  <c r="BF2200" i="6"/>
  <c r="BF2201" i="6"/>
  <c r="BE2202" i="6"/>
  <c r="BF2202" i="6"/>
  <c r="BE2203" i="6"/>
  <c r="BF2203" i="6"/>
  <c r="BE2204" i="6"/>
  <c r="BE2205" i="6"/>
  <c r="BF2204" i="6"/>
  <c r="BF2205" i="6"/>
  <c r="BE2206" i="6"/>
  <c r="BF2206" i="6"/>
  <c r="BE2207" i="6"/>
  <c r="BF2207" i="6"/>
  <c r="BE2208" i="6"/>
  <c r="BF2208" i="6"/>
  <c r="BE2209" i="6"/>
  <c r="BF2209" i="6"/>
  <c r="BE2210" i="6"/>
  <c r="BF2210" i="6"/>
  <c r="BE2211" i="6"/>
  <c r="BF2211" i="6"/>
  <c r="BE2212" i="6"/>
  <c r="BE2213" i="6"/>
  <c r="BF2212" i="6"/>
  <c r="BF2213" i="6"/>
  <c r="BE2214" i="6"/>
  <c r="BF2214" i="6"/>
  <c r="BE2215" i="6"/>
  <c r="BF2215" i="6"/>
  <c r="BE2216" i="6"/>
  <c r="BE2217" i="6"/>
  <c r="BF2216" i="6"/>
  <c r="BF2217" i="6"/>
  <c r="BE2218" i="6"/>
  <c r="BF2218" i="6"/>
  <c r="BE2219" i="6"/>
  <c r="BF2219" i="6"/>
  <c r="BE2220" i="6"/>
  <c r="BE2221" i="6"/>
  <c r="BF2220" i="6"/>
  <c r="BF2221" i="6"/>
  <c r="BE2222" i="6"/>
  <c r="BF2222" i="6"/>
  <c r="BE2223" i="6"/>
  <c r="BF2223" i="6"/>
  <c r="BE2224" i="6"/>
  <c r="BF2224" i="6"/>
  <c r="BE2225" i="6"/>
  <c r="BF2225" i="6"/>
  <c r="BE2226" i="6"/>
  <c r="BF2226" i="6"/>
  <c r="BE2227" i="6"/>
  <c r="BF2227" i="6"/>
  <c r="BE2228" i="6"/>
  <c r="BE2229" i="6"/>
  <c r="BF2228" i="6"/>
  <c r="BF2229" i="6"/>
  <c r="BE2230" i="6"/>
  <c r="BE2231" i="6"/>
  <c r="BF2230" i="6"/>
  <c r="BF2231" i="6"/>
  <c r="BE2232" i="6"/>
  <c r="BF2232" i="6"/>
  <c r="BE2233" i="6"/>
  <c r="BF2233" i="6"/>
  <c r="BE2234" i="6"/>
  <c r="BF2234" i="6"/>
  <c r="BE2235" i="6"/>
  <c r="BF2235" i="6"/>
  <c r="BE2236" i="6"/>
  <c r="BE2237" i="6"/>
  <c r="BF2236" i="6"/>
  <c r="BF2237" i="6"/>
  <c r="BE2238" i="6"/>
  <c r="BF2238" i="6"/>
  <c r="BE2239" i="6"/>
  <c r="BF2239" i="6"/>
  <c r="BE2240" i="6"/>
  <c r="BF2240" i="6"/>
  <c r="BE2241" i="6"/>
  <c r="BF2241" i="6"/>
  <c r="BE2242" i="6"/>
  <c r="BF2242" i="6"/>
  <c r="BE2243" i="6"/>
  <c r="BF2243" i="6"/>
  <c r="BE2244" i="6"/>
  <c r="BE2245" i="6"/>
  <c r="BF2244" i="6"/>
  <c r="BF2245" i="6"/>
  <c r="BE2246" i="6"/>
  <c r="BF2246" i="6"/>
  <c r="BE2247" i="6"/>
  <c r="BF2247" i="6"/>
  <c r="BE2248" i="6"/>
  <c r="BE2249" i="6"/>
  <c r="BF2248" i="6"/>
  <c r="BF2249" i="6"/>
  <c r="BE2250" i="6"/>
  <c r="BF2250" i="6"/>
  <c r="BE2251" i="6"/>
  <c r="BF2251" i="6"/>
  <c r="BE2252" i="6"/>
  <c r="BE2253" i="6"/>
  <c r="BF2252" i="6"/>
  <c r="BF2253" i="6"/>
  <c r="BE2254" i="6"/>
  <c r="BF2254" i="6"/>
  <c r="BE2255" i="6"/>
  <c r="BF2255" i="6"/>
  <c r="BE2256" i="6"/>
  <c r="BF2256" i="6"/>
  <c r="BE2257" i="6"/>
  <c r="BF2257" i="6"/>
  <c r="BE2258" i="6"/>
  <c r="BF2258" i="6"/>
  <c r="BE2259" i="6"/>
  <c r="BF2259" i="6"/>
  <c r="BE2260" i="6"/>
  <c r="BE2261" i="6"/>
  <c r="BF2260" i="6"/>
  <c r="BF2261" i="6"/>
  <c r="BE2262" i="6"/>
  <c r="BE2263" i="6"/>
  <c r="BF2262" i="6"/>
  <c r="BF2263" i="6"/>
  <c r="BE2264" i="6"/>
  <c r="BF2264" i="6"/>
  <c r="BE2265" i="6"/>
  <c r="BF2265" i="6"/>
  <c r="BE2266" i="6"/>
  <c r="BF2266" i="6"/>
  <c r="BE2267" i="6"/>
  <c r="BF2267" i="6"/>
  <c r="BE2268" i="6"/>
  <c r="BE2269" i="6"/>
  <c r="BF2268" i="6"/>
  <c r="BF2269" i="6"/>
  <c r="BE2270" i="6"/>
  <c r="BF2270" i="6"/>
  <c r="BE2271" i="6"/>
  <c r="BF2271" i="6"/>
  <c r="BE2272" i="6"/>
  <c r="BE2273" i="6"/>
  <c r="BF2272" i="6"/>
  <c r="BF2273" i="6"/>
  <c r="BE2274" i="6"/>
  <c r="BF2274" i="6"/>
  <c r="BE2275" i="6"/>
  <c r="BF2275" i="6"/>
  <c r="BE2276" i="6"/>
  <c r="BE2277" i="6"/>
  <c r="BF2276" i="6"/>
  <c r="BF2277" i="6"/>
  <c r="BE2278" i="6"/>
  <c r="BF2278" i="6"/>
  <c r="BE2279" i="6"/>
  <c r="BF2279" i="6"/>
  <c r="BE2280" i="6"/>
  <c r="BE2281" i="6"/>
  <c r="BF2280" i="6"/>
  <c r="BF2281" i="6"/>
  <c r="BE2282" i="6"/>
  <c r="BF2282" i="6"/>
  <c r="BE2283" i="6"/>
  <c r="BF2283" i="6"/>
  <c r="BE2284" i="6"/>
  <c r="BE2285" i="6"/>
  <c r="BF2284" i="6"/>
  <c r="BF2285" i="6"/>
  <c r="BE2286" i="6"/>
  <c r="BE2287" i="6"/>
  <c r="BF2286" i="6"/>
  <c r="BF2287" i="6"/>
  <c r="BE2288" i="6"/>
  <c r="BF2288" i="6"/>
  <c r="BE2289" i="6"/>
  <c r="BF2289" i="6"/>
  <c r="BE2290" i="6"/>
  <c r="BF2290" i="6"/>
  <c r="BE2291" i="6"/>
  <c r="BF2291" i="6"/>
  <c r="BE2292" i="6"/>
  <c r="BE2293" i="6"/>
  <c r="BF2292" i="6"/>
  <c r="BF2293" i="6"/>
  <c r="BE2294" i="6"/>
  <c r="BE2295" i="6"/>
  <c r="BF2294" i="6"/>
  <c r="BF2295" i="6"/>
  <c r="BE2296" i="6"/>
  <c r="BE2297" i="6"/>
  <c r="BF2296" i="6"/>
  <c r="BF2297" i="6"/>
  <c r="BE2298" i="6"/>
  <c r="BF2298" i="6"/>
  <c r="BE2299" i="6"/>
  <c r="BF2299" i="6"/>
  <c r="BE2300" i="6"/>
  <c r="BE2301" i="6"/>
  <c r="BF2300" i="6"/>
  <c r="BF2301" i="6"/>
  <c r="BE2302" i="6"/>
  <c r="BF2302" i="6"/>
  <c r="BE2303" i="6"/>
  <c r="BF2303" i="6"/>
  <c r="BE2304" i="6"/>
  <c r="BF2304" i="6"/>
  <c r="BE2305" i="6"/>
  <c r="BF2305" i="6"/>
  <c r="BE2306" i="6"/>
  <c r="BF2306" i="6"/>
  <c r="BE2307" i="6"/>
  <c r="BF2307" i="6"/>
  <c r="BE2308" i="6"/>
  <c r="BE2309" i="6"/>
  <c r="BF2308" i="6"/>
  <c r="BF2309" i="6"/>
  <c r="BE2310" i="6"/>
  <c r="BE2311" i="6"/>
  <c r="BF2310" i="6"/>
  <c r="BF2311" i="6"/>
  <c r="BE2312" i="6"/>
  <c r="BE2313" i="6"/>
  <c r="BF2312" i="6"/>
  <c r="BF2313" i="6"/>
  <c r="BE2314" i="6"/>
  <c r="BF2314" i="6"/>
  <c r="BE2315" i="6"/>
  <c r="BF2315" i="6"/>
  <c r="BE2316" i="6"/>
  <c r="BE2317" i="6"/>
  <c r="BF2316" i="6"/>
  <c r="BF2317" i="6"/>
  <c r="BE2318" i="6"/>
  <c r="BE2319" i="6"/>
  <c r="BF2318" i="6"/>
  <c r="BF2319" i="6"/>
  <c r="BE2320" i="6"/>
  <c r="BF2320" i="6"/>
  <c r="BE2321" i="6"/>
  <c r="BF2321" i="6"/>
  <c r="BE2322" i="6"/>
  <c r="BF2322" i="6"/>
  <c r="BE2323" i="6"/>
  <c r="BF2323" i="6"/>
  <c r="BE2324" i="6"/>
  <c r="BE2325" i="6"/>
  <c r="BF2324" i="6"/>
  <c r="BF2325" i="6"/>
  <c r="BE2326" i="6"/>
  <c r="BE2327" i="6"/>
  <c r="BF2326" i="6"/>
  <c r="BF2327" i="6"/>
  <c r="BE2328" i="6"/>
  <c r="BE2329" i="6"/>
  <c r="BF2328" i="6"/>
  <c r="BF2329" i="6"/>
  <c r="BE2330" i="6"/>
  <c r="BF2330" i="6"/>
  <c r="BE2331" i="6"/>
  <c r="BF2331" i="6"/>
  <c r="BE2332" i="6"/>
  <c r="BE2333" i="6"/>
  <c r="BF2332" i="6"/>
  <c r="BF2333" i="6"/>
  <c r="BE2334" i="6"/>
  <c r="BF2334" i="6"/>
  <c r="BE2335" i="6"/>
  <c r="BF2335" i="6"/>
  <c r="BE2336" i="6"/>
  <c r="BF2336" i="6"/>
  <c r="BE2337" i="6"/>
  <c r="BF2337" i="6"/>
  <c r="BE2338" i="6"/>
  <c r="BF2338" i="6"/>
  <c r="BE2339" i="6"/>
  <c r="BF2339" i="6"/>
  <c r="BE2340" i="6"/>
  <c r="BE2341" i="6"/>
  <c r="BF2340" i="6"/>
  <c r="BF2341" i="6"/>
  <c r="BE2342" i="6"/>
  <c r="BE2343" i="6"/>
  <c r="BF2342" i="6"/>
  <c r="BF2343" i="6"/>
  <c r="BE2344" i="6"/>
  <c r="BE2345" i="6"/>
  <c r="BF2344" i="6"/>
  <c r="BF2345" i="6"/>
  <c r="BE2346" i="6"/>
  <c r="BF2346" i="6"/>
  <c r="BE2347" i="6"/>
  <c r="BF2347" i="6"/>
  <c r="BE2348" i="6"/>
  <c r="BE2349" i="6"/>
  <c r="BF2348" i="6"/>
  <c r="BF2349" i="6"/>
  <c r="BE2350" i="6"/>
  <c r="BF2350" i="6"/>
  <c r="BE2351" i="6"/>
  <c r="BF2351" i="6"/>
  <c r="BE2352" i="6"/>
  <c r="BF2352" i="6"/>
  <c r="BE2353" i="6"/>
  <c r="BF2353" i="6"/>
  <c r="BE2354" i="6"/>
  <c r="BF2354" i="6"/>
  <c r="BE2355" i="6"/>
  <c r="BF2355" i="6"/>
  <c r="BE2356" i="6"/>
  <c r="BE2357" i="6"/>
  <c r="BF2356" i="6"/>
  <c r="BF2357" i="6"/>
  <c r="BE2358" i="6"/>
  <c r="BE2359" i="6"/>
  <c r="BF2358" i="6"/>
  <c r="BF2359" i="6"/>
  <c r="BE2360" i="6"/>
  <c r="BF2360" i="6"/>
  <c r="BE2361" i="6"/>
  <c r="BF2361" i="6"/>
  <c r="BE2362" i="6"/>
  <c r="BF2362" i="6"/>
  <c r="BE2363" i="6"/>
  <c r="BF2363" i="6"/>
  <c r="BE2364" i="6"/>
  <c r="BE2365" i="6"/>
  <c r="BF2364" i="6"/>
  <c r="BF2365" i="6"/>
  <c r="BE2366" i="6"/>
  <c r="BF2366" i="6"/>
  <c r="BE2367" i="6"/>
  <c r="BF2367" i="6"/>
  <c r="BE2368" i="6"/>
  <c r="BF2368" i="6"/>
  <c r="BE2369" i="6"/>
  <c r="BF2369" i="6"/>
  <c r="BE2370" i="6"/>
  <c r="BF2370" i="6"/>
  <c r="BE2371" i="6"/>
  <c r="BF2371" i="6"/>
  <c r="BE2372" i="6"/>
  <c r="BE2373" i="6"/>
  <c r="BF2372" i="6"/>
  <c r="BF2373" i="6"/>
  <c r="BE2374" i="6"/>
  <c r="BF2374" i="6"/>
  <c r="BE2375" i="6"/>
  <c r="BF2375" i="6"/>
  <c r="BE2376" i="6"/>
  <c r="BE2377" i="6"/>
  <c r="BF2376" i="6"/>
  <c r="BF2377" i="6"/>
  <c r="BE2378" i="6"/>
  <c r="BF2378" i="6"/>
  <c r="BE2379" i="6"/>
  <c r="BF2379" i="6"/>
  <c r="BE2380" i="6"/>
  <c r="BE2381" i="6"/>
  <c r="BF2380" i="6"/>
  <c r="BF2381" i="6"/>
  <c r="BE2382" i="6"/>
  <c r="BF2382" i="6"/>
  <c r="BE2383" i="6"/>
  <c r="BF2383" i="6"/>
  <c r="BE2384" i="6"/>
  <c r="BF2384" i="6"/>
  <c r="BE2385" i="6"/>
  <c r="BF2385" i="6"/>
  <c r="BE2386" i="6"/>
  <c r="BF2386" i="6"/>
  <c r="BE2387" i="6"/>
  <c r="BF2387" i="6"/>
  <c r="BE2388" i="6"/>
  <c r="BE2389" i="6"/>
  <c r="BF2388" i="6"/>
  <c r="BF2389" i="6"/>
  <c r="BE2390" i="6"/>
  <c r="BE2391" i="6"/>
  <c r="BF2390" i="6"/>
  <c r="BF2391" i="6"/>
  <c r="BE2392" i="6"/>
  <c r="BF2392" i="6"/>
  <c r="BE2393" i="6"/>
  <c r="BF2393" i="6"/>
  <c r="BE2394" i="6"/>
  <c r="BF2394" i="6"/>
  <c r="BE2395" i="6"/>
  <c r="BF2395" i="6"/>
  <c r="BE2396" i="6"/>
  <c r="BE2397" i="6"/>
  <c r="BF2396" i="6"/>
  <c r="BF2397" i="6"/>
  <c r="BE2398" i="6"/>
  <c r="BF2398" i="6"/>
  <c r="BE2399" i="6"/>
  <c r="BF2399" i="6"/>
  <c r="BE2400" i="6"/>
  <c r="BE2401" i="6"/>
  <c r="BF2400" i="6"/>
  <c r="BF2401" i="6"/>
  <c r="BE2402" i="6"/>
  <c r="BF2402" i="6"/>
  <c r="BE2403" i="6"/>
  <c r="BF2403" i="6"/>
  <c r="BE2404" i="6"/>
  <c r="BE2405" i="6"/>
  <c r="BF2404" i="6"/>
  <c r="BF2405" i="6"/>
  <c r="BE2406" i="6"/>
  <c r="BF2406" i="6"/>
  <c r="BE2407" i="6"/>
  <c r="BF2407" i="6"/>
  <c r="BE2408" i="6"/>
  <c r="BE2409" i="6"/>
  <c r="BF2408" i="6"/>
  <c r="BF2409" i="6"/>
  <c r="BE2410" i="6"/>
  <c r="BF2410" i="6"/>
  <c r="BE2411" i="6"/>
  <c r="BF2411" i="6"/>
  <c r="BE2412" i="6"/>
  <c r="BE2413" i="6"/>
  <c r="BF2412" i="6"/>
  <c r="BF2413" i="6"/>
  <c r="BE2414" i="6"/>
  <c r="BE2415" i="6"/>
  <c r="BF2414" i="6"/>
  <c r="BF2415" i="6"/>
  <c r="BE2416" i="6"/>
  <c r="BF2416" i="6"/>
  <c r="BE2417" i="6"/>
  <c r="BF2417" i="6"/>
  <c r="BE2418" i="6"/>
  <c r="BF2418" i="6"/>
  <c r="BE2419" i="6"/>
  <c r="BF2419" i="6"/>
  <c r="BE2420" i="6"/>
  <c r="BE2421" i="6"/>
  <c r="BF2420" i="6"/>
  <c r="BF2421" i="6"/>
  <c r="BE2422" i="6"/>
  <c r="BE2423" i="6"/>
  <c r="BF2422" i="6"/>
  <c r="BF2423" i="6"/>
  <c r="BE2424" i="6"/>
  <c r="BE2425" i="6"/>
  <c r="BF2424" i="6"/>
  <c r="BF2425" i="6"/>
  <c r="BE2426" i="6"/>
  <c r="BF2426" i="6"/>
  <c r="BE2427" i="6"/>
  <c r="BF2427" i="6"/>
  <c r="BE2428" i="6"/>
  <c r="BE2429" i="6"/>
  <c r="BF2428" i="6"/>
  <c r="BF2429" i="6"/>
  <c r="BE2430" i="6"/>
  <c r="BF2430" i="6"/>
  <c r="BE2431" i="6"/>
  <c r="BF2431" i="6"/>
  <c r="BE2432" i="6"/>
  <c r="BF2432" i="6"/>
  <c r="BE2433" i="6"/>
  <c r="BF2433" i="6"/>
  <c r="BE2434" i="6"/>
  <c r="BF2434" i="6"/>
  <c r="BE2435" i="6"/>
  <c r="BF2435" i="6"/>
  <c r="BE2436" i="6"/>
  <c r="BE2437" i="6"/>
  <c r="BF2436" i="6"/>
  <c r="BF2437" i="6"/>
  <c r="BE2438" i="6"/>
  <c r="BE2439" i="6"/>
  <c r="BF2438" i="6"/>
  <c r="BF2439" i="6"/>
  <c r="BE2440" i="6"/>
  <c r="BE2441" i="6"/>
  <c r="BF2440" i="6"/>
  <c r="BF2441" i="6"/>
  <c r="BE2442" i="6"/>
  <c r="BF2442" i="6"/>
  <c r="BE2443" i="6"/>
  <c r="BF2443" i="6"/>
  <c r="BE2444" i="6"/>
  <c r="BE2445" i="6"/>
  <c r="BF2444" i="6"/>
  <c r="BF2445" i="6"/>
  <c r="BE2446" i="6"/>
  <c r="BE2447" i="6"/>
  <c r="BF2446" i="6"/>
  <c r="BF2447" i="6"/>
  <c r="BE2448" i="6"/>
  <c r="BF2448" i="6"/>
  <c r="BE2449" i="6"/>
  <c r="BF2449" i="6"/>
  <c r="BE2450" i="6"/>
  <c r="BF2450" i="6"/>
  <c r="BE2451" i="6"/>
  <c r="BF2451" i="6"/>
  <c r="BE2452" i="6"/>
  <c r="BE2453" i="6"/>
  <c r="BF2452" i="6"/>
  <c r="BF2453" i="6"/>
  <c r="BE2454" i="6"/>
  <c r="BE2455" i="6"/>
  <c r="BF2454" i="6"/>
  <c r="BF2455" i="6"/>
  <c r="BE2456" i="6"/>
  <c r="BF2456" i="6"/>
  <c r="BE2457" i="6"/>
  <c r="BF2457" i="6"/>
  <c r="BE2458" i="6"/>
  <c r="BF2458" i="6"/>
  <c r="BE2459" i="6"/>
  <c r="BF2459" i="6"/>
  <c r="BE2460" i="6"/>
  <c r="BE2461" i="6"/>
  <c r="BF2460" i="6"/>
  <c r="BF2461" i="6"/>
  <c r="BE2462" i="6"/>
  <c r="BF2462" i="6"/>
  <c r="BE2463" i="6"/>
  <c r="BF2463" i="6"/>
  <c r="BE2464" i="6"/>
  <c r="BF2464" i="6"/>
  <c r="BE2465" i="6"/>
  <c r="BF2465" i="6"/>
  <c r="BE2466" i="6"/>
  <c r="BF2466" i="6"/>
  <c r="BE2467" i="6"/>
  <c r="BF2467" i="6"/>
  <c r="BE2468" i="6"/>
  <c r="BE2469" i="6"/>
  <c r="BF2468" i="6"/>
  <c r="BF2469" i="6"/>
  <c r="BE2470" i="6"/>
  <c r="BE2471" i="6"/>
  <c r="BF2470" i="6"/>
  <c r="BF2471" i="6"/>
  <c r="BE2472" i="6"/>
  <c r="BE2473" i="6"/>
  <c r="BF2472" i="6"/>
  <c r="BF2473" i="6"/>
  <c r="BE2474" i="6"/>
  <c r="BF2474" i="6"/>
  <c r="BE2475" i="6"/>
  <c r="BF2475" i="6"/>
  <c r="BE2476" i="6"/>
  <c r="BE2477" i="6"/>
  <c r="BF2476" i="6"/>
  <c r="BF2477" i="6"/>
  <c r="BE2478" i="6"/>
  <c r="BF2478" i="6"/>
  <c r="BE2479" i="6"/>
  <c r="BF2479" i="6"/>
  <c r="BE2480" i="6"/>
  <c r="BF2480" i="6"/>
  <c r="BE2481" i="6"/>
  <c r="BF2481" i="6"/>
  <c r="BE2482" i="6"/>
  <c r="BF2482" i="6"/>
  <c r="BE2483" i="6"/>
  <c r="BF2483" i="6"/>
  <c r="BE2484" i="6"/>
  <c r="BE2485" i="6"/>
  <c r="BF2484" i="6"/>
  <c r="BF2485" i="6"/>
  <c r="BE2486" i="6"/>
  <c r="BE2487" i="6"/>
  <c r="BF2486" i="6"/>
  <c r="BF2487" i="6"/>
  <c r="BE2488" i="6"/>
  <c r="BF2488" i="6"/>
  <c r="BE2489" i="6"/>
  <c r="BF2489" i="6"/>
  <c r="BE2490" i="6"/>
  <c r="BF2490" i="6"/>
  <c r="BE2491" i="6"/>
  <c r="BF2491" i="6"/>
  <c r="BE2492" i="6"/>
  <c r="BE2493" i="6"/>
  <c r="BF2492" i="6"/>
  <c r="BF2493" i="6"/>
  <c r="BE2494" i="6"/>
  <c r="BF2494" i="6"/>
  <c r="BE2495" i="6"/>
  <c r="BF2495" i="6"/>
  <c r="BE2496" i="6"/>
  <c r="BF2496" i="6"/>
  <c r="BE2497" i="6"/>
  <c r="BF2497" i="6"/>
  <c r="BE2498" i="6"/>
  <c r="BF2498" i="6"/>
  <c r="BE2499" i="6"/>
  <c r="BF2499" i="6"/>
  <c r="BE2500" i="6"/>
  <c r="BE2501" i="6"/>
  <c r="BF2500" i="6"/>
  <c r="BF2501" i="6"/>
  <c r="BE2502" i="6"/>
  <c r="BF2502" i="6"/>
  <c r="BE2503" i="6"/>
  <c r="BF2503" i="6"/>
  <c r="BE2504" i="6"/>
  <c r="BE2505" i="6"/>
  <c r="BF2504" i="6"/>
  <c r="BF2505" i="6"/>
  <c r="BE2506" i="6"/>
  <c r="BF2506" i="6"/>
  <c r="BE2507" i="6"/>
  <c r="BF2507" i="6"/>
  <c r="BE2508" i="6"/>
  <c r="BE2509" i="6"/>
  <c r="BF2508" i="6"/>
  <c r="BF2509" i="6"/>
  <c r="BE2510" i="6"/>
  <c r="BF2510" i="6"/>
  <c r="BE2511" i="6"/>
  <c r="BF2511" i="6"/>
  <c r="BE2512" i="6"/>
  <c r="BF2512" i="6"/>
  <c r="BE2513" i="6"/>
  <c r="BF2513" i="6"/>
  <c r="BE2514" i="6"/>
  <c r="BF2514" i="6"/>
  <c r="BE2515" i="6"/>
  <c r="BF2515" i="6"/>
  <c r="BE2516" i="6"/>
  <c r="BE2517" i="6"/>
  <c r="BF2516" i="6"/>
  <c r="BF2517" i="6"/>
  <c r="BE2518" i="6"/>
  <c r="BE2519" i="6"/>
  <c r="BF2518" i="6"/>
  <c r="BF2519" i="6"/>
  <c r="BE2520" i="6"/>
  <c r="BF2520" i="6"/>
  <c r="BE2521" i="6"/>
  <c r="BF2521" i="6"/>
  <c r="BE2522" i="6"/>
  <c r="BF2522" i="6"/>
  <c r="BE2523" i="6"/>
  <c r="BF2523" i="6"/>
  <c r="BE2524" i="6"/>
  <c r="BE2525" i="6"/>
  <c r="BF2524" i="6"/>
  <c r="BF2525" i="6"/>
  <c r="BE2526" i="6"/>
  <c r="BF2526" i="6"/>
  <c r="BE2527" i="6"/>
  <c r="BF2527" i="6"/>
  <c r="BE2528" i="6"/>
  <c r="BE2529" i="6"/>
  <c r="BF2528" i="6"/>
  <c r="BF2529" i="6"/>
  <c r="BE2530" i="6"/>
  <c r="BF2530" i="6"/>
  <c r="BE2531" i="6"/>
  <c r="BF2531" i="6"/>
  <c r="BE2532" i="6"/>
  <c r="BE2533" i="6"/>
  <c r="BF2532" i="6"/>
  <c r="BF2533" i="6"/>
  <c r="BE2534" i="6"/>
  <c r="BF2534" i="6"/>
  <c r="BE2535" i="6"/>
  <c r="BF2535" i="6"/>
  <c r="BE2536" i="6"/>
  <c r="BE2537" i="6"/>
  <c r="BF2536" i="6"/>
  <c r="BF2537" i="6"/>
  <c r="BE2538" i="6"/>
  <c r="BF2538" i="6"/>
  <c r="BE2539" i="6"/>
  <c r="BF2539" i="6"/>
  <c r="BE2540" i="6"/>
  <c r="BE2541" i="6"/>
  <c r="BF2540" i="6"/>
  <c r="BF2541" i="6"/>
  <c r="BE2542" i="6"/>
  <c r="BE2543" i="6"/>
  <c r="BF2542" i="6"/>
  <c r="BF2543" i="6"/>
  <c r="BE2544" i="6"/>
  <c r="BF2544" i="6"/>
  <c r="BE2545" i="6"/>
  <c r="BF2545" i="6"/>
  <c r="BE2546" i="6"/>
  <c r="BF2546" i="6"/>
  <c r="BE2547" i="6"/>
  <c r="BF2547" i="6"/>
  <c r="BE2548" i="6"/>
  <c r="BE2549" i="6"/>
  <c r="BF2548" i="6"/>
  <c r="BF2549" i="6"/>
  <c r="BE2550" i="6"/>
  <c r="BE2551" i="6"/>
  <c r="BF2550" i="6"/>
  <c r="BF2551" i="6"/>
  <c r="BE2552" i="6"/>
  <c r="BE2553" i="6"/>
  <c r="BF2552" i="6"/>
  <c r="BF2553" i="6"/>
  <c r="BE2554" i="6"/>
  <c r="BF2554" i="6"/>
  <c r="BE2555" i="6"/>
  <c r="BF2555" i="6"/>
  <c r="BE2556" i="6"/>
  <c r="BE2557" i="6"/>
  <c r="BF2556" i="6"/>
  <c r="BF2557" i="6"/>
  <c r="BE2558" i="6"/>
  <c r="BF2558" i="6"/>
  <c r="BE2559" i="6"/>
  <c r="BF2559" i="6"/>
  <c r="BE2560" i="6"/>
  <c r="BF2560" i="6"/>
  <c r="BE2561" i="6"/>
  <c r="BF2561" i="6"/>
  <c r="BE2562" i="6"/>
  <c r="BF2562" i="6"/>
  <c r="BE2563" i="6"/>
  <c r="BF2563" i="6"/>
  <c r="BE2564" i="6"/>
  <c r="BE2565" i="6"/>
  <c r="BF2564" i="6"/>
  <c r="BF2565" i="6"/>
  <c r="BE2566" i="6"/>
  <c r="BE2567" i="6"/>
  <c r="BF2566" i="6"/>
  <c r="BF2567" i="6"/>
  <c r="BE2568" i="6"/>
  <c r="BE2569" i="6"/>
  <c r="BF2568" i="6"/>
  <c r="BF2569" i="6"/>
  <c r="BE2570" i="6"/>
  <c r="BF2570" i="6"/>
  <c r="BE2571" i="6"/>
  <c r="BF2571" i="6"/>
  <c r="BE2572" i="6"/>
  <c r="BE2573" i="6"/>
  <c r="BF2572" i="6"/>
  <c r="BF2573" i="6"/>
  <c r="BE2574" i="6"/>
  <c r="BE2575" i="6"/>
  <c r="BF2574" i="6"/>
  <c r="BF2575" i="6"/>
  <c r="BE2576" i="6"/>
  <c r="BF2576" i="6"/>
  <c r="BE2577" i="6"/>
  <c r="BF2577" i="6"/>
  <c r="BE2578" i="6"/>
  <c r="BF2578" i="6"/>
  <c r="BE2579" i="6"/>
  <c r="BF2579" i="6"/>
  <c r="BE2580" i="6"/>
  <c r="BE2581" i="6"/>
  <c r="BF2580" i="6"/>
  <c r="BF2581" i="6"/>
  <c r="BE2582" i="6"/>
  <c r="BE2583" i="6"/>
  <c r="BF2582" i="6"/>
  <c r="BF2583" i="6"/>
  <c r="BE2584" i="6"/>
  <c r="BE2585" i="6"/>
  <c r="BF2584" i="6"/>
  <c r="BF2585" i="6"/>
  <c r="BE2586" i="6"/>
  <c r="BF2586" i="6"/>
  <c r="BE2587" i="6"/>
  <c r="BF2587" i="6"/>
  <c r="BE2588" i="6"/>
  <c r="BE2589" i="6"/>
  <c r="BF2588" i="6"/>
  <c r="BF2589" i="6"/>
  <c r="BE2590" i="6"/>
  <c r="BF2590" i="6"/>
  <c r="BE2591" i="6"/>
  <c r="BF2591" i="6"/>
  <c r="BE2592" i="6"/>
  <c r="BF2592" i="6"/>
  <c r="BE2593" i="6"/>
  <c r="BF2593" i="6"/>
  <c r="BE2594" i="6"/>
  <c r="BF2594" i="6"/>
  <c r="BE2595" i="6"/>
  <c r="BF2595" i="6"/>
  <c r="BE2596" i="6"/>
  <c r="BE2597" i="6"/>
  <c r="BF2596" i="6"/>
  <c r="BF2597" i="6"/>
  <c r="BE2598" i="6"/>
  <c r="BE2599" i="6"/>
  <c r="BF2598" i="6"/>
  <c r="BF2599" i="6"/>
  <c r="BE2600" i="6"/>
  <c r="BE2601" i="6"/>
  <c r="BF2600" i="6"/>
  <c r="BF2601" i="6"/>
  <c r="BE2602" i="6"/>
  <c r="BF2602" i="6"/>
  <c r="BE2603" i="6"/>
  <c r="BF2603" i="6"/>
  <c r="BE2604" i="6"/>
  <c r="BE2605" i="6"/>
  <c r="BF2604" i="6"/>
  <c r="BF2605" i="6"/>
  <c r="BE2606" i="6"/>
  <c r="BF2606" i="6"/>
  <c r="BE2607" i="6"/>
  <c r="BF2607" i="6"/>
  <c r="BE2608" i="6"/>
  <c r="BF2608" i="6"/>
  <c r="BE2609" i="6"/>
  <c r="BF2609" i="6"/>
  <c r="BE2610" i="6"/>
  <c r="BF2610" i="6"/>
  <c r="BE2611" i="6"/>
  <c r="BF2611" i="6"/>
  <c r="BE2612" i="6"/>
  <c r="BE2613" i="6"/>
  <c r="BF2612" i="6"/>
  <c r="BF2613" i="6"/>
  <c r="BE2614" i="6"/>
  <c r="BE2615" i="6"/>
  <c r="BF2614" i="6"/>
  <c r="BF2615" i="6"/>
  <c r="BE2616" i="6"/>
  <c r="BF2616" i="6"/>
  <c r="BE2617" i="6"/>
  <c r="BF2617" i="6"/>
  <c r="BE2618" i="6"/>
  <c r="BF2618" i="6"/>
  <c r="BE2619" i="6"/>
  <c r="BF2619" i="6"/>
  <c r="BE2620" i="6"/>
  <c r="BE2621" i="6"/>
  <c r="BF2620" i="6"/>
  <c r="BF2621" i="6"/>
  <c r="BE2622" i="6"/>
  <c r="BF2622" i="6"/>
  <c r="BE2623" i="6"/>
  <c r="BF2623" i="6"/>
  <c r="BE2624" i="6"/>
  <c r="BF2624" i="6"/>
  <c r="BE2625" i="6"/>
  <c r="BF2625" i="6"/>
  <c r="BE2626" i="6"/>
  <c r="BF2626" i="6"/>
  <c r="BE2627" i="6"/>
  <c r="BF2627" i="6"/>
  <c r="BE2628" i="6"/>
  <c r="BE2629" i="6"/>
  <c r="BF2628" i="6"/>
  <c r="BF2629" i="6"/>
  <c r="BE2630" i="6"/>
  <c r="BF2630" i="6"/>
  <c r="BE2631" i="6"/>
  <c r="BF2631" i="6"/>
  <c r="BE2632" i="6"/>
  <c r="BE2633" i="6"/>
  <c r="BF2632" i="6"/>
  <c r="BF2633" i="6"/>
  <c r="BE2634" i="6"/>
  <c r="BF2634" i="6"/>
  <c r="BE2635" i="6"/>
  <c r="BF2635" i="6"/>
  <c r="BE2636" i="6"/>
  <c r="BE2637" i="6"/>
  <c r="BF2636" i="6"/>
  <c r="BF2637" i="6"/>
  <c r="BE2638" i="6"/>
  <c r="BF2638" i="6"/>
  <c r="BE2639" i="6"/>
  <c r="BF2639" i="6"/>
  <c r="BE2640" i="6"/>
  <c r="BF2640" i="6"/>
  <c r="BE2641" i="6"/>
  <c r="BF2641" i="6"/>
  <c r="BE2642" i="6"/>
  <c r="BF2642" i="6"/>
  <c r="BE2643" i="6"/>
  <c r="BF2643" i="6"/>
  <c r="BE2644" i="6"/>
  <c r="BE2645" i="6"/>
  <c r="BF2644" i="6"/>
  <c r="BF2645" i="6"/>
  <c r="BE2646" i="6"/>
  <c r="BE2647" i="6"/>
  <c r="BF2646" i="6"/>
  <c r="BF2647" i="6"/>
  <c r="BE2648" i="6"/>
  <c r="BF2648" i="6"/>
  <c r="BE2649" i="6"/>
  <c r="BF2649" i="6"/>
  <c r="BE2650" i="6"/>
  <c r="BF2650" i="6"/>
  <c r="BE2651" i="6"/>
  <c r="BF2651" i="6"/>
  <c r="BE2652" i="6"/>
  <c r="BE2653" i="6"/>
  <c r="BF2652" i="6"/>
  <c r="BF2653" i="6"/>
  <c r="BE2654" i="6"/>
  <c r="BE2655" i="6"/>
  <c r="BF2654" i="6"/>
  <c r="BF2655" i="6"/>
  <c r="BE2656" i="6"/>
  <c r="BF2656" i="6"/>
  <c r="BE2657" i="6"/>
  <c r="BF2657" i="6"/>
  <c r="BE2658" i="6"/>
  <c r="BF2658" i="6"/>
  <c r="BE2659" i="6"/>
  <c r="BF2659" i="6"/>
  <c r="BE2660" i="6"/>
  <c r="BE2661" i="6"/>
  <c r="BF2660" i="6"/>
  <c r="BF2661" i="6"/>
  <c r="BE2662" i="6"/>
  <c r="BF2662" i="6"/>
  <c r="BE2663" i="6"/>
  <c r="BF2663" i="6"/>
  <c r="BE2664" i="6"/>
  <c r="BE2665" i="6"/>
  <c r="BF2664" i="6"/>
  <c r="BF2665" i="6"/>
  <c r="BE2666" i="6"/>
  <c r="BF2666" i="6"/>
  <c r="BE2667" i="6"/>
  <c r="BF2667" i="6"/>
  <c r="BE2668" i="6"/>
  <c r="BE2669" i="6"/>
  <c r="BF2668" i="6"/>
  <c r="BF2669" i="6"/>
  <c r="BE2670" i="6"/>
  <c r="BF2670" i="6"/>
  <c r="BE2671" i="6"/>
  <c r="BF2671" i="6"/>
  <c r="BE2672" i="6"/>
  <c r="BE2673" i="6"/>
  <c r="BF2672" i="6"/>
  <c r="BF2673" i="6"/>
  <c r="BE2674" i="6"/>
  <c r="BF2674" i="6"/>
  <c r="BE2675" i="6"/>
  <c r="BF2675" i="6"/>
  <c r="BE2676" i="6"/>
  <c r="BE2677" i="6"/>
  <c r="BF2676" i="6"/>
  <c r="BF2677" i="6"/>
  <c r="BE2678" i="6"/>
  <c r="BE2679" i="6"/>
  <c r="BF2678" i="6"/>
  <c r="BF2679" i="6"/>
  <c r="BE2680" i="6"/>
  <c r="BF2680" i="6"/>
  <c r="BE2681" i="6"/>
  <c r="BF2681" i="6"/>
  <c r="BE2682" i="6"/>
  <c r="BF2682" i="6"/>
  <c r="BE2683" i="6"/>
  <c r="BF2683" i="6"/>
  <c r="BE2684" i="6"/>
  <c r="BE2685" i="6"/>
  <c r="BF2684" i="6"/>
  <c r="BF2685" i="6"/>
  <c r="BE2686" i="6"/>
  <c r="BE2687" i="6"/>
  <c r="BF2686" i="6"/>
  <c r="BF2687" i="6"/>
  <c r="BE2688" i="6"/>
  <c r="BF2688" i="6"/>
  <c r="BE2689" i="6"/>
  <c r="BF2689" i="6"/>
  <c r="BE2690" i="6"/>
  <c r="BF2690" i="6"/>
  <c r="BE2691" i="6"/>
  <c r="BF2691" i="6"/>
  <c r="BE2692" i="6"/>
  <c r="BE2693" i="6"/>
  <c r="BF2692" i="6"/>
  <c r="BF2693" i="6"/>
  <c r="BE2694" i="6"/>
  <c r="BF2694" i="6"/>
  <c r="BE2695" i="6"/>
  <c r="BF2695" i="6"/>
  <c r="BE2696" i="6"/>
  <c r="BE2697" i="6"/>
  <c r="BF2696" i="6"/>
  <c r="BF2697" i="6"/>
  <c r="BE2698" i="6"/>
  <c r="BF2698" i="6"/>
  <c r="BE2699" i="6"/>
  <c r="BF2699" i="6"/>
  <c r="BE2700" i="6"/>
  <c r="BE2701" i="6"/>
  <c r="BF2700" i="6"/>
  <c r="BF2701" i="6"/>
  <c r="BE2702" i="6"/>
  <c r="BF2702" i="6"/>
  <c r="BE2703" i="6"/>
  <c r="BF2703" i="6"/>
  <c r="BE2704" i="6"/>
  <c r="BE2705" i="6"/>
  <c r="BF2704" i="6"/>
  <c r="BF2705" i="6"/>
  <c r="BE2706" i="6"/>
  <c r="BF2706" i="6"/>
  <c r="BE2707" i="6"/>
  <c r="BF2707" i="6"/>
  <c r="BE2708" i="6"/>
  <c r="BE2709" i="6"/>
  <c r="BF2708" i="6"/>
  <c r="BF2709" i="6"/>
  <c r="BE2710" i="6"/>
  <c r="BE2711" i="6"/>
  <c r="BF2710" i="6"/>
  <c r="BF2711" i="6"/>
  <c r="BE2712" i="6"/>
  <c r="BF2712" i="6"/>
  <c r="BE2713" i="6"/>
  <c r="BF2713" i="6"/>
  <c r="BE2714" i="6"/>
  <c r="BF2714" i="6"/>
  <c r="BE2715" i="6"/>
  <c r="BF2715" i="6"/>
  <c r="BE2716" i="6"/>
  <c r="BE2717" i="6"/>
  <c r="BF2716" i="6"/>
  <c r="BF2717" i="6"/>
  <c r="BE2718" i="6"/>
  <c r="BE2719" i="6"/>
  <c r="BF2718" i="6"/>
  <c r="BF2719" i="6"/>
  <c r="BE2720" i="6"/>
  <c r="BF2720" i="6"/>
  <c r="BE2721" i="6"/>
  <c r="BF2721" i="6"/>
  <c r="BE2722" i="6"/>
  <c r="BF2722" i="6"/>
  <c r="BE2723" i="6"/>
  <c r="BF2723" i="6"/>
  <c r="BE2724" i="6"/>
  <c r="BE2725" i="6"/>
  <c r="BF2724" i="6"/>
  <c r="BF2725" i="6"/>
  <c r="BE2726" i="6"/>
  <c r="BF2726" i="6"/>
  <c r="BE2727" i="6"/>
  <c r="BF2727" i="6"/>
  <c r="BE2728" i="6"/>
  <c r="BF2728" i="6"/>
  <c r="BE2729" i="6"/>
  <c r="BF2729" i="6"/>
  <c r="BE2730" i="6"/>
  <c r="BF2730" i="6"/>
  <c r="BE2731" i="6"/>
  <c r="BF2731" i="6"/>
  <c r="BE2732" i="6"/>
  <c r="BE2733" i="6"/>
  <c r="BF2732" i="6"/>
  <c r="BF2733" i="6"/>
  <c r="BE2734" i="6"/>
  <c r="BF2734" i="6"/>
  <c r="BE2735" i="6"/>
  <c r="BF2735" i="6"/>
  <c r="BE2736" i="6"/>
  <c r="BE2737" i="6"/>
  <c r="BF2736" i="6"/>
  <c r="BF2737" i="6"/>
  <c r="BE2738" i="6"/>
  <c r="BF2738" i="6"/>
  <c r="BE2739" i="6"/>
  <c r="BF2739" i="6"/>
  <c r="BE2740" i="6"/>
  <c r="BE2741" i="6"/>
  <c r="BF2740" i="6"/>
  <c r="BF2741" i="6"/>
  <c r="BE2742" i="6"/>
  <c r="BF2742" i="6"/>
  <c r="BE2743" i="6"/>
  <c r="BF2743" i="6"/>
  <c r="BE2744" i="6"/>
  <c r="BF2744" i="6"/>
  <c r="BE2745" i="6"/>
  <c r="BF2745" i="6"/>
  <c r="BE2746" i="6"/>
  <c r="BF2746" i="6"/>
  <c r="BE2747" i="6"/>
  <c r="BF2747" i="6"/>
  <c r="BE2748" i="6"/>
  <c r="BE2749" i="6"/>
  <c r="BF2748" i="6"/>
  <c r="BF2749" i="6"/>
  <c r="BE2750" i="6"/>
  <c r="BE2751" i="6"/>
  <c r="BF2750" i="6"/>
  <c r="BF2751" i="6"/>
  <c r="BE2752" i="6"/>
  <c r="BF2752" i="6"/>
  <c r="BE2753" i="6"/>
  <c r="BF2753" i="6"/>
  <c r="BE2754" i="6"/>
  <c r="BF2754" i="6"/>
  <c r="BE2755" i="6"/>
  <c r="BF2755" i="6"/>
  <c r="BE2756" i="6"/>
  <c r="BE2757" i="6"/>
  <c r="BF2756" i="6"/>
  <c r="BF2757" i="6"/>
  <c r="BE2758" i="6"/>
  <c r="BF2758" i="6"/>
  <c r="BE2759" i="6"/>
  <c r="BF2759" i="6"/>
  <c r="BE2760" i="6"/>
  <c r="BE2761" i="6"/>
  <c r="BF2760" i="6"/>
  <c r="BF2761" i="6"/>
  <c r="BE2762" i="6"/>
  <c r="BF2762" i="6"/>
  <c r="BE2763" i="6"/>
  <c r="BF2763" i="6"/>
  <c r="BE2764" i="6"/>
  <c r="BE2765" i="6"/>
  <c r="BF2764" i="6"/>
  <c r="BF2765" i="6"/>
  <c r="BE2766" i="6"/>
  <c r="BF2766" i="6"/>
  <c r="BE2767" i="6"/>
  <c r="BF2767" i="6"/>
  <c r="BE2768" i="6"/>
  <c r="BE2769" i="6"/>
  <c r="BF2768" i="6"/>
  <c r="BF2769" i="6"/>
  <c r="BE2770" i="6"/>
  <c r="BF2770" i="6"/>
  <c r="BE2771" i="6"/>
  <c r="BF2771" i="6"/>
  <c r="BE2772" i="6"/>
  <c r="BE2773" i="6"/>
  <c r="BF2772" i="6"/>
  <c r="BF2773" i="6"/>
  <c r="BE2774" i="6"/>
  <c r="BE2775" i="6"/>
  <c r="BF2774" i="6"/>
  <c r="BF2775" i="6"/>
  <c r="BE2776" i="6"/>
  <c r="BE2777" i="6"/>
  <c r="BF2776" i="6"/>
  <c r="BE2778" i="6"/>
  <c r="BF2777" i="6"/>
  <c r="BE2779" i="6"/>
  <c r="BF2778" i="6"/>
  <c r="BF2779" i="6"/>
  <c r="BE2780" i="6"/>
  <c r="BE2781" i="6"/>
  <c r="BF2780" i="6"/>
  <c r="BF2781" i="6"/>
  <c r="BE2782" i="6"/>
  <c r="BE2783" i="6"/>
  <c r="BF2782" i="6"/>
  <c r="BF2783" i="6"/>
  <c r="BE2784" i="6"/>
  <c r="BE2785" i="6"/>
  <c r="BF2784" i="6"/>
  <c r="BE2786" i="6"/>
  <c r="BF2785" i="6"/>
  <c r="BE2787" i="6"/>
  <c r="BF2786" i="6"/>
  <c r="BE2788" i="6"/>
  <c r="BF2787" i="6"/>
  <c r="BE2789" i="6"/>
  <c r="BF2788" i="6"/>
  <c r="BF2789" i="6"/>
  <c r="BE2790" i="6"/>
  <c r="BE2791" i="6"/>
  <c r="BF2790" i="6"/>
  <c r="BF2791" i="6"/>
  <c r="BE2792" i="6"/>
  <c r="BE2793" i="6"/>
  <c r="BF2792" i="6"/>
  <c r="BE2794" i="6"/>
  <c r="BF2793" i="6"/>
  <c r="BE2795" i="6"/>
  <c r="BF2794" i="6"/>
  <c r="BF2795" i="6"/>
  <c r="BE2796" i="6"/>
  <c r="BE2797" i="6"/>
  <c r="BF2796" i="6"/>
  <c r="BF2797" i="6"/>
  <c r="BE2798" i="6"/>
  <c r="BE2799" i="6"/>
  <c r="BF2798" i="6"/>
  <c r="BF2799" i="6"/>
  <c r="BE2800" i="6"/>
  <c r="BE2801" i="6"/>
  <c r="BF2800" i="6"/>
  <c r="BE2802" i="6"/>
  <c r="BF2801" i="6"/>
  <c r="BE2803" i="6"/>
  <c r="BF2802" i="6"/>
  <c r="BE2804" i="6"/>
  <c r="BF2803" i="6"/>
  <c r="BE2805" i="6"/>
  <c r="BF2804" i="6"/>
  <c r="BF2805" i="6"/>
  <c r="BE2806" i="6"/>
  <c r="BE2807" i="6"/>
  <c r="BF2806" i="6"/>
  <c r="BF2807" i="6"/>
  <c r="BE2808" i="6"/>
  <c r="BE2809" i="6"/>
  <c r="BF2808" i="6"/>
  <c r="BE2810" i="6"/>
  <c r="BF2809" i="6"/>
  <c r="BE2811" i="6"/>
  <c r="BF2810" i="6"/>
  <c r="BF2811" i="6"/>
  <c r="BE2812" i="6"/>
  <c r="BE2813" i="6"/>
  <c r="BF2812" i="6"/>
  <c r="BF2813" i="6"/>
  <c r="BE2814" i="6"/>
  <c r="BE2815" i="6"/>
  <c r="BF2814" i="6"/>
  <c r="BF2815" i="6"/>
  <c r="BE2816" i="6"/>
  <c r="BE2817" i="6"/>
  <c r="BF2816" i="6"/>
  <c r="BE2818" i="6"/>
  <c r="BF2817" i="6"/>
  <c r="BE2819" i="6"/>
  <c r="BF2818" i="6"/>
  <c r="BE2820" i="6"/>
  <c r="BF2819" i="6"/>
  <c r="BE2821" i="6"/>
  <c r="BF2820" i="6"/>
  <c r="BF2821" i="6"/>
  <c r="BE2822" i="6"/>
  <c r="BE2823" i="6"/>
  <c r="BF2822" i="6"/>
  <c r="BF2823" i="6"/>
  <c r="BE2824" i="6"/>
  <c r="BE2825" i="6"/>
  <c r="BF2824" i="6"/>
  <c r="BE2826" i="6"/>
  <c r="BF2825" i="6"/>
  <c r="BE2827" i="6"/>
  <c r="BF2826" i="6"/>
  <c r="BF2827" i="6"/>
  <c r="BE2828" i="6"/>
  <c r="BE2829" i="6"/>
  <c r="BF2828" i="6"/>
  <c r="BF2829" i="6"/>
  <c r="BE2830" i="6"/>
  <c r="BE2831" i="6"/>
  <c r="BF2830" i="6"/>
  <c r="BF2831" i="6"/>
  <c r="BE2832" i="6"/>
  <c r="BE2833" i="6"/>
  <c r="BF2832" i="6"/>
  <c r="BE2834" i="6"/>
  <c r="BF2833" i="6"/>
  <c r="BE2835" i="6"/>
  <c r="BF2834" i="6"/>
  <c r="BF2835" i="6"/>
  <c r="BE2836" i="6"/>
  <c r="BE2837" i="6"/>
  <c r="BF2836" i="6"/>
  <c r="BF2837" i="6"/>
  <c r="BE2838" i="6"/>
  <c r="BE2839" i="6"/>
  <c r="BF2838" i="6"/>
  <c r="BF2839" i="6"/>
  <c r="BE2840" i="6"/>
  <c r="BE2841" i="6"/>
  <c r="BF2840" i="6"/>
  <c r="BE2842" i="6"/>
  <c r="BF2841" i="6"/>
  <c r="BE2843" i="6"/>
  <c r="BF2842" i="6"/>
  <c r="BE2844" i="6"/>
  <c r="BF2843" i="6"/>
  <c r="BE2845" i="6"/>
  <c r="BF2844" i="6"/>
  <c r="BF2845" i="6"/>
  <c r="BE2846" i="6"/>
  <c r="BE2847" i="6"/>
  <c r="BF2846" i="6"/>
  <c r="BF2847" i="6"/>
  <c r="BE2848" i="6"/>
  <c r="BE2849" i="6"/>
  <c r="BF2848" i="6"/>
  <c r="BE2850" i="6"/>
  <c r="BF2849" i="6"/>
  <c r="BE2851" i="6"/>
  <c r="BF2850" i="6"/>
  <c r="BF2851" i="6"/>
  <c r="BE2852" i="6"/>
  <c r="BF2852" i="6"/>
  <c r="BE2853" i="6"/>
  <c r="BE2854" i="6"/>
  <c r="BF2853" i="6"/>
  <c r="BF2854" i="6"/>
  <c r="BE2855" i="6"/>
  <c r="BF2855" i="6"/>
  <c r="BE2856" i="6"/>
  <c r="BF2856" i="6"/>
  <c r="BE2857" i="6"/>
  <c r="BE2858" i="6"/>
  <c r="BF2857" i="6"/>
  <c r="BF2858" i="6"/>
  <c r="BE2859" i="6"/>
  <c r="BF2859" i="6"/>
  <c r="BE2860" i="6"/>
  <c r="BF2860" i="6"/>
  <c r="BE2861" i="6"/>
  <c r="BE2862" i="6"/>
  <c r="BF2861" i="6"/>
  <c r="BF2862" i="6"/>
  <c r="BE2863" i="6"/>
  <c r="BF2863" i="6"/>
  <c r="BE2864" i="6"/>
  <c r="BF2864" i="6"/>
  <c r="BE2865" i="6"/>
  <c r="BE2866" i="6"/>
  <c r="BF2865" i="6"/>
  <c r="BF2866" i="6"/>
  <c r="BE2867" i="6"/>
  <c r="BF2867" i="6"/>
  <c r="BE2868" i="6"/>
  <c r="BF2868" i="6"/>
  <c r="BE2869" i="6"/>
  <c r="BE2870" i="6"/>
  <c r="BF2869" i="6"/>
  <c r="BF2870" i="6"/>
  <c r="BE2871" i="6"/>
  <c r="BF2871" i="6"/>
  <c r="BE2872" i="6"/>
  <c r="BF2872" i="6"/>
  <c r="BE2873" i="6"/>
  <c r="BE2874" i="6"/>
  <c r="BF2873" i="6"/>
  <c r="BF2874" i="6"/>
  <c r="BE2875" i="6"/>
  <c r="BE2876" i="6"/>
  <c r="BF2875" i="6"/>
  <c r="BF2876" i="6"/>
  <c r="BE2877" i="6"/>
  <c r="BE2878" i="6"/>
  <c r="BF2877" i="6"/>
  <c r="BF2878" i="6"/>
  <c r="BE2879" i="6"/>
  <c r="BF2879" i="6"/>
  <c r="BE2880" i="6"/>
  <c r="BF2880" i="6"/>
  <c r="BE2881" i="6"/>
  <c r="BE2882" i="6"/>
  <c r="BF2881" i="6"/>
  <c r="BF2882" i="6"/>
  <c r="BE2883" i="6"/>
  <c r="BF2883" i="6"/>
</calcChain>
</file>

<file path=xl/sharedStrings.xml><?xml version="1.0" encoding="utf-8"?>
<sst xmlns="http://schemas.openxmlformats.org/spreadsheetml/2006/main" count="82" uniqueCount="80">
  <si>
    <t>Notes</t>
  </si>
  <si>
    <t>This report is for :</t>
  </si>
  <si>
    <t>Notes :</t>
  </si>
  <si>
    <t>Sleep Baselines</t>
  </si>
  <si>
    <t>Created for :</t>
  </si>
  <si>
    <t>Date created :</t>
  </si>
  <si>
    <t>Data file :</t>
  </si>
  <si>
    <t>Subject code :</t>
  </si>
  <si>
    <t>Date of birth :</t>
  </si>
  <si>
    <t>Sex :</t>
  </si>
  <si>
    <t>BMI :</t>
  </si>
  <si>
    <t>Handedness :</t>
  </si>
  <si>
    <t>Device location :</t>
  </si>
  <si>
    <t>Start time :</t>
  </si>
  <si>
    <t>End time :</t>
  </si>
  <si>
    <t>Study centre :</t>
  </si>
  <si>
    <t>Study code :</t>
  </si>
  <si>
    <t>Exercise type :</t>
  </si>
  <si>
    <t>Sleep sensitivity :</t>
  </si>
  <si>
    <t>Baselines</t>
  </si>
  <si>
    <t>Trial Information</t>
  </si>
  <si>
    <t>Subject Information</t>
  </si>
  <si>
    <t>Report</t>
  </si>
  <si>
    <t>Time</t>
  </si>
  <si>
    <t>x axis mean</t>
  </si>
  <si>
    <t>y axis mean</t>
  </si>
  <si>
    <t>z axis mean</t>
  </si>
  <si>
    <t>Lux</t>
  </si>
  <si>
    <t>Button</t>
  </si>
  <si>
    <t>Temp</t>
  </si>
  <si>
    <t>SVMgs</t>
  </si>
  <si>
    <t>Current Movement</t>
  </si>
  <si>
    <t>Elapsed time (days) :</t>
  </si>
  <si>
    <t>Original sample frequency (Hz) :</t>
  </si>
  <si>
    <t>Total wear time (days) :</t>
  </si>
  <si>
    <t>Date</t>
  </si>
  <si>
    <t>Light</t>
  </si>
  <si>
    <t>Days</t>
  </si>
  <si>
    <t># Activity periods</t>
  </si>
  <si>
    <t>Sleep efficiency</t>
  </si>
  <si>
    <t>Day</t>
  </si>
  <si>
    <t>Weekday</t>
  </si>
  <si>
    <t>Day Name</t>
  </si>
  <si>
    <t>Summary</t>
  </si>
  <si>
    <t>Median activity period (mins)</t>
  </si>
  <si>
    <t>Offset</t>
  </si>
  <si>
    <t>Night name</t>
  </si>
  <si>
    <t>X axis stdev</t>
  </si>
  <si>
    <t>Y axis stdev</t>
  </si>
  <si>
    <t>Z axis stdev</t>
  </si>
  <si>
    <t>calc</t>
  </si>
  <si>
    <t>BED</t>
  </si>
  <si>
    <t>NO WEAR</t>
  </si>
  <si>
    <t>SLEEP</t>
  </si>
  <si>
    <t>MET/min</t>
  </si>
  <si>
    <t xml:space="preserve">Activity </t>
  </si>
  <si>
    <t>Bed time</t>
  </si>
  <si>
    <t>Rise time</t>
  </si>
  <si>
    <t>Elapsed Sleep time (mins)</t>
  </si>
  <si>
    <t>Sleep time (mins)</t>
  </si>
  <si>
    <t>Previous day total light exposure (Lux.mins)</t>
  </si>
  <si>
    <t>Previous Day total energy (MET.mins)</t>
  </si>
  <si>
    <t>bed row</t>
  </si>
  <si>
    <t>rise row</t>
  </si>
  <si>
    <t>X1</t>
  </si>
  <si>
    <t>Y1</t>
  </si>
  <si>
    <t>Day / date</t>
  </si>
  <si>
    <t>Current Movement * SVM</t>
  </si>
  <si>
    <t>1hr Average</t>
  </si>
  <si>
    <t>Min. of 1hr Average</t>
  </si>
  <si>
    <t>rows</t>
  </si>
  <si>
    <t>Noon row</t>
  </si>
  <si>
    <t>Report Details and macros</t>
  </si>
  <si>
    <t xml:space="preserve">Version </t>
  </si>
  <si>
    <t>v3</t>
  </si>
  <si>
    <t>Update</t>
  </si>
  <si>
    <t>Bed and rise times can be edited and other summary parameters can update based on these (via the button on the Summary tab).
Combine activity, temp and light onto one chart</t>
  </si>
  <si>
    <r>
      <t>Temperature (</t>
    </r>
    <r>
      <rPr>
        <b/>
        <sz val="10"/>
        <color indexed="10"/>
        <rFont val="Verdana"/>
        <family val="2"/>
      </rPr>
      <t>red</t>
    </r>
    <r>
      <rPr>
        <b/>
        <sz val="10"/>
        <rFont val="Verdana"/>
        <family val="2"/>
      </rPr>
      <t>), Light (</t>
    </r>
    <r>
      <rPr>
        <b/>
        <sz val="10"/>
        <color indexed="13"/>
        <rFont val="Verdana"/>
        <family val="2"/>
      </rPr>
      <t>yellow</t>
    </r>
    <r>
      <rPr>
        <b/>
        <sz val="10"/>
        <rFont val="Verdana"/>
        <family val="2"/>
      </rPr>
      <t>) and activity (</t>
    </r>
    <r>
      <rPr>
        <b/>
        <sz val="10"/>
        <color indexed="57"/>
        <rFont val="Verdana"/>
        <family val="2"/>
      </rPr>
      <t>green</t>
    </r>
    <r>
      <rPr>
        <b/>
        <sz val="10"/>
        <rFont val="Verdana"/>
        <family val="2"/>
      </rPr>
      <t>)</t>
    </r>
  </si>
  <si>
    <t>Height (m) :</t>
  </si>
  <si>
    <t>Weight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</si>
</sst>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F800]dddd\,\ mmmm\ dd\,\ yyyy"/>
    <numFmt numFmtId="165" formatCode="0.000"/>
    <numFmt numFmtId="166" formatCode="0.0"/>
    <numFmt numFmtId="167" formatCode="[$-F400]h:mm:ss\ AM/PM"/>
    <numFmt numFmtId="168" formatCode="dd/mm/yy\ hh:mm"/>
    <numFmt numFmtId="169" formatCode="0.0\ &quot;hrs&quot;"/>
    <numFmt numFmtId="170" formatCode="mm/dd/yy\ hh:mm"/>
    <numFmt numFmtId="171" formatCode="0.0%"/>
    <numFmt numFmtId="172" formatCode="&quot;Res = &quot;\ 0"/>
    <numFmt numFmtId="173" formatCode="hh:mm;@"/>
  </numFmts>
  <fonts count="34">
    <font>
      <sz val="10"/>
      <name val="Arial"/>
    </font>
    <font>
      <sz val="10"/>
      <name val="Arial"/>
      <family val="2"/>
    </font>
    <font>
      <sz val="8"/>
      <name val="Arial"/>
      <family val="2"/>
    </font>
    <font>
      <b/>
      <sz val="10"/>
      <name val="Arial"/>
      <family val="2"/>
    </font>
    <font>
      <sz val="9"/>
      <name val="Arial"/>
      <family val="2"/>
    </font>
    <font>
      <sz val="10"/>
      <name val="Verdana"/>
      <family val="2"/>
    </font>
    <font>
      <sz val="10"/>
      <name val="Arial"/>
      <family val="2"/>
    </font>
    <font>
      <sz val="11"/>
      <name val="Verdana"/>
      <family val="2"/>
    </font>
    <font>
      <u/>
      <sz val="11"/>
      <name val="Verdana"/>
      <family val="2"/>
    </font>
    <font>
      <b/>
      <sz val="12"/>
      <name val="Verdana"/>
      <family val="2"/>
    </font>
    <font>
      <b/>
      <sz val="10"/>
      <name val="Verdana"/>
      <family val="2"/>
    </font>
    <font>
      <b/>
      <sz val="9"/>
      <name val="Arial"/>
      <family val="2"/>
    </font>
    <font>
      <sz val="14"/>
      <name val="Verdana"/>
      <family val="2"/>
    </font>
    <font>
      <sz val="8"/>
      <name val="Verdana"/>
      <family val="2"/>
    </font>
    <font>
      <sz val="9"/>
      <name val="Verdana"/>
      <family val="2"/>
    </font>
    <font>
      <b/>
      <sz val="11"/>
      <color indexed="8"/>
      <name val="Calibri"/>
      <family val="2"/>
    </font>
    <font>
      <sz val="8"/>
      <color indexed="30"/>
      <name val="Verdana"/>
      <family val="2"/>
    </font>
    <font>
      <b/>
      <sz val="8"/>
      <name val="Verdana"/>
      <family val="2"/>
    </font>
    <font>
      <sz val="10"/>
      <color indexed="9"/>
      <name val="Arial"/>
      <family val="2"/>
    </font>
    <font>
      <sz val="8"/>
      <color indexed="9"/>
      <name val="Verdana"/>
      <family val="2"/>
    </font>
    <font>
      <sz val="8"/>
      <name val="Arial"/>
      <family val="2"/>
    </font>
    <font>
      <sz val="9"/>
      <color indexed="10"/>
      <name val="Verdana"/>
      <family val="2"/>
    </font>
    <font>
      <sz val="9"/>
      <color indexed="50"/>
      <name val="Verdana"/>
      <family val="2"/>
    </font>
    <font>
      <b/>
      <sz val="10"/>
      <color indexed="10"/>
      <name val="Verdana"/>
      <family val="2"/>
    </font>
    <font>
      <b/>
      <sz val="10"/>
      <color indexed="13"/>
      <name val="Verdana"/>
      <family val="2"/>
    </font>
    <font>
      <sz val="7"/>
      <color indexed="30"/>
      <name val="Verdana"/>
      <family val="2"/>
    </font>
    <font>
      <b/>
      <sz val="7"/>
      <color indexed="30"/>
      <name val="Verdana"/>
      <family val="2"/>
    </font>
    <font>
      <sz val="8"/>
      <color indexed="23"/>
      <name val="Verdana"/>
      <family val="2"/>
    </font>
    <font>
      <sz val="9"/>
      <color indexed="23"/>
      <name val="Verdana"/>
      <family val="2"/>
    </font>
    <font>
      <sz val="10"/>
      <color indexed="9"/>
      <name val="Arial"/>
      <family val="2"/>
    </font>
    <font>
      <b/>
      <sz val="10"/>
      <color indexed="57"/>
      <name val="Verdana"/>
      <family val="2"/>
    </font>
    <font>
      <sz val="10"/>
      <color theme="0"/>
      <name val="Arial"/>
      <family val="2"/>
    </font>
    <font>
      <sz val="10"/>
      <color rgb="FF000000"/>
      <name val="Verdana"/>
      <family val="2"/>
    </font>
    <font>
      <b/>
      <sz val="10"/>
      <color rgb="FF000000"/>
      <name val="Verdana"/>
      <family val="2"/>
    </font>
  </fonts>
  <fills count="5">
    <fill>
      <patternFill patternType="none"/>
    </fill>
    <fill>
      <patternFill patternType="gray125"/>
    </fill>
    <fill>
      <patternFill patternType="solid">
        <fgColor indexed="13"/>
        <bgColor indexed="64"/>
      </patternFill>
    </fill>
    <fill>
      <patternFill patternType="solid">
        <fgColor indexed="51"/>
        <bgColor indexed="64"/>
      </patternFill>
    </fill>
    <fill>
      <patternFill patternType="solid">
        <fgColor indexed="52"/>
        <bgColor indexed="64"/>
      </patternFill>
    </fill>
  </fills>
  <borders count="15">
    <border>
      <left/>
      <right/>
      <top/>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medium">
        <color indexed="64"/>
      </right>
      <top style="thin">
        <color indexed="64"/>
      </top>
      <bottom style="medium">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1" fillId="0" borderId="0"/>
  </cellStyleXfs>
  <cellXfs count="116">
    <xf numFmtId="0" fontId="0" fillId="0" borderId="0" xfId="0"/>
    <xf numFmtId="0" fontId="0" fillId="0" borderId="0" xfId="0" applyAlignment="1">
      <alignment horizontal="right" indent="1"/>
    </xf>
    <xf numFmtId="0" fontId="0" fillId="0" borderId="0" xfId="0" applyAlignment="1">
      <alignment horizontal="left" indent="1"/>
    </xf>
    <xf numFmtId="165" fontId="0" fillId="0" borderId="0" xfId="0" applyNumberFormat="1"/>
    <xf numFmtId="1" fontId="0" fillId="0" borderId="0" xfId="0" applyNumberFormat="1"/>
    <xf numFmtId="166" fontId="0" fillId="0" borderId="0" xfId="0" applyNumberFormat="1"/>
    <xf numFmtId="0" fontId="3" fillId="0" borderId="0" xfId="0" applyFont="1" applyAlignment="1">
      <alignment horizontal="center" vertical="top" wrapText="1"/>
    </xf>
    <xf numFmtId="165" fontId="3" fillId="0" borderId="0" xfId="0" applyNumberFormat="1" applyFont="1" applyAlignment="1">
      <alignment horizontal="center" vertical="top" wrapText="1"/>
    </xf>
    <xf numFmtId="1" fontId="3" fillId="0" borderId="0" xfId="0" applyNumberFormat="1" applyFont="1" applyAlignment="1">
      <alignment horizontal="center" vertical="top" wrapText="1"/>
    </xf>
    <xf numFmtId="166" fontId="3" fillId="0" borderId="0" xfId="0" applyNumberFormat="1" applyFont="1" applyAlignment="1">
      <alignment horizontal="center" vertical="top" wrapText="1"/>
    </xf>
    <xf numFmtId="0" fontId="3" fillId="0" borderId="0" xfId="0" applyFont="1" applyFill="1" applyAlignment="1">
      <alignment horizontal="center" vertical="top" wrapText="1"/>
    </xf>
    <xf numFmtId="0" fontId="0" fillId="0" borderId="0" xfId="0" applyAlignment="1">
      <alignment horizontal="right"/>
    </xf>
    <xf numFmtId="0" fontId="0" fillId="0" borderId="0" xfId="0" applyFill="1" applyAlignment="1">
      <alignment horizontal="right"/>
    </xf>
    <xf numFmtId="2" fontId="0" fillId="0" borderId="0" xfId="0" applyNumberFormat="1" applyFill="1" applyAlignment="1">
      <alignment horizontal="right"/>
    </xf>
    <xf numFmtId="2" fontId="3" fillId="0" borderId="0" xfId="0" applyNumberFormat="1" applyFont="1" applyAlignment="1">
      <alignment horizontal="center" vertical="top" wrapText="1"/>
    </xf>
    <xf numFmtId="2" fontId="0" fillId="0" borderId="0" xfId="0" applyNumberFormat="1"/>
    <xf numFmtId="164" fontId="0" fillId="0" borderId="0" xfId="0" applyNumberFormat="1"/>
    <xf numFmtId="167" fontId="0" fillId="0" borderId="0" xfId="0" applyNumberFormat="1"/>
    <xf numFmtId="20" fontId="3" fillId="0" borderId="0" xfId="0" applyNumberFormat="1" applyFont="1" applyAlignment="1">
      <alignment horizontal="center" vertical="top" wrapText="1"/>
    </xf>
    <xf numFmtId="20" fontId="0" fillId="0" borderId="0" xfId="0" applyNumberFormat="1"/>
    <xf numFmtId="0" fontId="3" fillId="0" borderId="0" xfId="0" applyFont="1"/>
    <xf numFmtId="0" fontId="4" fillId="0" borderId="0" xfId="0" applyFont="1"/>
    <xf numFmtId="169" fontId="4" fillId="0" borderId="0" xfId="0" applyNumberFormat="1" applyFont="1"/>
    <xf numFmtId="2" fontId="0" fillId="0" borderId="0" xfId="0" applyNumberFormat="1" applyAlignment="1">
      <alignment horizontal="left"/>
    </xf>
    <xf numFmtId="1" fontId="3" fillId="0" borderId="0" xfId="0" applyNumberFormat="1" applyFont="1"/>
    <xf numFmtId="1" fontId="3" fillId="0" borderId="0" xfId="0" applyNumberFormat="1" applyFont="1" applyAlignment="1">
      <alignment horizontal="left"/>
    </xf>
    <xf numFmtId="1" fontId="3" fillId="0" borderId="0" xfId="0" applyNumberFormat="1" applyFont="1" applyAlignment="1">
      <alignment horizontal="right"/>
    </xf>
    <xf numFmtId="0" fontId="15" fillId="0" borderId="0" xfId="0" applyFont="1"/>
    <xf numFmtId="14" fontId="0" fillId="0" borderId="0" xfId="0" applyNumberFormat="1"/>
    <xf numFmtId="0" fontId="5" fillId="0" borderId="0" xfId="0" applyFont="1"/>
    <xf numFmtId="166" fontId="6" fillId="0" borderId="0" xfId="0" applyNumberFormat="1" applyFont="1"/>
    <xf numFmtId="168" fontId="0" fillId="0" borderId="0" xfId="0" applyNumberFormat="1"/>
    <xf numFmtId="168" fontId="3" fillId="0" borderId="0" xfId="0" applyNumberFormat="1" applyFont="1" applyAlignment="1">
      <alignment horizontal="center" vertical="top" wrapText="1"/>
    </xf>
    <xf numFmtId="0" fontId="5" fillId="0" borderId="0" xfId="0" applyFont="1" applyAlignment="1">
      <alignment horizontal="left" indent="1"/>
    </xf>
    <xf numFmtId="0" fontId="7" fillId="0" borderId="0" xfId="0" applyFont="1" applyAlignment="1">
      <alignment horizontal="right" indent="1"/>
    </xf>
    <xf numFmtId="0" fontId="7" fillId="0" borderId="0" xfId="0" applyFont="1" applyAlignment="1">
      <alignment horizontal="right" vertical="top" indent="1"/>
    </xf>
    <xf numFmtId="0" fontId="8" fillId="0" borderId="0" xfId="0" applyFont="1" applyAlignment="1">
      <alignment horizontal="right" indent="1"/>
    </xf>
    <xf numFmtId="0" fontId="9" fillId="0" borderId="0" xfId="0" applyFont="1" applyAlignment="1">
      <alignment horizontal="left" indent="1"/>
    </xf>
    <xf numFmtId="0" fontId="5" fillId="0" borderId="1" xfId="0" applyFont="1" applyBorder="1" applyAlignment="1">
      <alignment horizontal="left" indent="1"/>
    </xf>
    <xf numFmtId="0" fontId="5" fillId="0" borderId="2" xfId="0" applyFont="1" applyBorder="1" applyAlignment="1">
      <alignment horizontal="left" indent="1"/>
    </xf>
    <xf numFmtId="14" fontId="5" fillId="0" borderId="2" xfId="0" applyNumberFormat="1" applyFont="1" applyBorder="1" applyAlignment="1">
      <alignment horizontal="left" indent="1"/>
    </xf>
    <xf numFmtId="0" fontId="5" fillId="0" borderId="3" xfId="0" applyFont="1" applyBorder="1" applyAlignment="1">
      <alignment horizontal="left" indent="1"/>
    </xf>
    <xf numFmtId="22" fontId="5" fillId="0" borderId="2" xfId="0" applyNumberFormat="1" applyFont="1" applyBorder="1" applyAlignment="1">
      <alignment horizontal="left" indent="1"/>
    </xf>
    <xf numFmtId="0" fontId="10" fillId="0" borderId="4" xfId="0" applyFont="1" applyBorder="1" applyAlignment="1">
      <alignment horizontal="right"/>
    </xf>
    <xf numFmtId="0" fontId="5" fillId="0" borderId="5" xfId="0" applyFont="1" applyBorder="1" applyAlignment="1">
      <alignment horizontal="right"/>
    </xf>
    <xf numFmtId="0" fontId="5" fillId="0" borderId="6" xfId="0" applyFont="1" applyBorder="1" applyAlignment="1">
      <alignment horizontal="right"/>
    </xf>
    <xf numFmtId="0" fontId="10" fillId="0" borderId="7" xfId="0" applyFont="1" applyBorder="1" applyAlignment="1">
      <alignment horizontal="right" vertical="top"/>
    </xf>
    <xf numFmtId="0" fontId="5" fillId="0" borderId="0" xfId="0" applyFont="1" applyAlignment="1">
      <alignment horizontal="right"/>
    </xf>
    <xf numFmtId="0" fontId="5" fillId="0" borderId="8" xfId="0" applyFont="1" applyBorder="1" applyAlignment="1">
      <alignment horizontal="left"/>
    </xf>
    <xf numFmtId="0" fontId="5" fillId="0" borderId="8" xfId="0" applyFont="1" applyBorder="1" applyAlignment="1">
      <alignment horizontal="left" vertical="top" wrapText="1" indent="1"/>
    </xf>
    <xf numFmtId="0" fontId="5" fillId="0" borderId="8" xfId="0" applyFont="1" applyBorder="1" applyAlignment="1">
      <alignment horizontal="left" indent="1"/>
    </xf>
    <xf numFmtId="0" fontId="11" fillId="0" borderId="0" xfId="0" applyFont="1" applyAlignment="1">
      <alignment horizontal="center" vertical="top" wrapText="1"/>
    </xf>
    <xf numFmtId="0" fontId="5" fillId="0" borderId="9" xfId="0" applyFont="1" applyBorder="1"/>
    <xf numFmtId="0" fontId="5" fillId="0" borderId="10" xfId="0" applyFont="1" applyBorder="1"/>
    <xf numFmtId="0" fontId="5" fillId="0" borderId="0" xfId="0" applyFont="1" applyBorder="1"/>
    <xf numFmtId="0" fontId="13" fillId="0" borderId="0" xfId="0" applyFont="1"/>
    <xf numFmtId="0" fontId="5" fillId="0" borderId="11" xfId="0" applyFont="1" applyBorder="1"/>
    <xf numFmtId="0" fontId="12" fillId="0" borderId="0" xfId="0" applyFont="1" applyBorder="1" applyAlignment="1"/>
    <xf numFmtId="0" fontId="5" fillId="0" borderId="12" xfId="0" applyFont="1" applyBorder="1" applyAlignment="1">
      <alignment horizontal="left" vertical="top" wrapText="1" indent="1"/>
    </xf>
    <xf numFmtId="166" fontId="5" fillId="0" borderId="2" xfId="0" applyNumberFormat="1" applyFont="1" applyBorder="1" applyAlignment="1">
      <alignment horizontal="left" indent="1"/>
    </xf>
    <xf numFmtId="172" fontId="3" fillId="0" borderId="0" xfId="0" applyNumberFormat="1" applyFont="1" applyAlignment="1">
      <alignment horizontal="left"/>
    </xf>
    <xf numFmtId="0" fontId="3" fillId="0" borderId="0" xfId="0" applyNumberFormat="1" applyFont="1" applyAlignment="1">
      <alignment horizontal="left"/>
    </xf>
    <xf numFmtId="1" fontId="1" fillId="0" borderId="0" xfId="0" applyNumberFormat="1" applyFont="1"/>
    <xf numFmtId="0" fontId="0" fillId="0" borderId="0" xfId="0" applyNumberFormat="1"/>
    <xf numFmtId="20" fontId="3" fillId="0" borderId="0" xfId="0" applyNumberFormat="1" applyFont="1" applyAlignment="1">
      <alignment vertical="top"/>
    </xf>
    <xf numFmtId="0" fontId="16" fillId="0" borderId="0" xfId="0" applyFont="1"/>
    <xf numFmtId="0" fontId="1" fillId="0" borderId="0" xfId="0" applyFont="1"/>
    <xf numFmtId="20" fontId="1" fillId="0" borderId="0" xfId="0" applyNumberFormat="1" applyFont="1"/>
    <xf numFmtId="0" fontId="3" fillId="0" borderId="0" xfId="0" applyFont="1" applyAlignment="1">
      <alignment vertical="top"/>
    </xf>
    <xf numFmtId="0" fontId="3" fillId="2" borderId="0" xfId="0" applyFont="1" applyFill="1" applyAlignment="1">
      <alignment vertical="top"/>
    </xf>
    <xf numFmtId="0" fontId="3" fillId="3" borderId="0" xfId="0" applyFont="1" applyFill="1" applyAlignment="1">
      <alignment vertical="top"/>
    </xf>
    <xf numFmtId="0" fontId="3" fillId="4" borderId="0" xfId="0" applyFont="1" applyFill="1" applyAlignment="1">
      <alignment vertical="top"/>
    </xf>
    <xf numFmtId="0" fontId="17" fillId="0" borderId="0" xfId="0" applyFont="1" applyBorder="1" applyAlignment="1">
      <alignment textRotation="90"/>
    </xf>
    <xf numFmtId="0" fontId="13" fillId="0" borderId="13" xfId="0" applyFont="1" applyBorder="1" applyAlignment="1">
      <alignment textRotation="90"/>
    </xf>
    <xf numFmtId="0" fontId="18" fillId="0" borderId="0" xfId="0" applyFont="1"/>
    <xf numFmtId="0" fontId="18" fillId="0" borderId="4" xfId="0" applyFont="1" applyBorder="1"/>
    <xf numFmtId="0" fontId="19" fillId="0" borderId="5" xfId="0" applyFont="1" applyBorder="1"/>
    <xf numFmtId="0" fontId="18" fillId="0" borderId="5" xfId="0" applyFont="1" applyBorder="1"/>
    <xf numFmtId="167" fontId="10" fillId="0" borderId="0" xfId="0" applyNumberFormat="1" applyFont="1"/>
    <xf numFmtId="164" fontId="3" fillId="0" borderId="0" xfId="0" applyNumberFormat="1" applyFont="1"/>
    <xf numFmtId="0" fontId="10" fillId="0" borderId="0" xfId="0" applyFont="1"/>
    <xf numFmtId="164" fontId="10" fillId="0" borderId="0" xfId="0" applyNumberFormat="1" applyFont="1"/>
    <xf numFmtId="173" fontId="10" fillId="0" borderId="0" xfId="0" applyNumberFormat="1" applyFont="1"/>
    <xf numFmtId="0" fontId="17" fillId="0" borderId="0" xfId="0" applyFont="1" applyBorder="1" applyAlignment="1">
      <alignment horizontal="center" textRotation="90"/>
    </xf>
    <xf numFmtId="0" fontId="13" fillId="0" borderId="13" xfId="0" applyFont="1" applyBorder="1"/>
    <xf numFmtId="1" fontId="14" fillId="0" borderId="13" xfId="0" applyNumberFormat="1" applyFont="1" applyBorder="1"/>
    <xf numFmtId="0" fontId="27" fillId="0" borderId="0" xfId="0" applyFont="1" applyBorder="1" applyAlignment="1">
      <alignment textRotation="90"/>
    </xf>
    <xf numFmtId="0" fontId="27" fillId="0" borderId="0" xfId="0" applyFont="1"/>
    <xf numFmtId="1" fontId="28" fillId="0" borderId="14" xfId="0" applyNumberFormat="1" applyFont="1" applyBorder="1"/>
    <xf numFmtId="0" fontId="18" fillId="0" borderId="0" xfId="0" applyFont="1" applyAlignment="1">
      <alignment horizontal="left"/>
    </xf>
    <xf numFmtId="0" fontId="18" fillId="0" borderId="9" xfId="0" applyFont="1" applyBorder="1" applyAlignment="1">
      <alignment horizontal="left"/>
    </xf>
    <xf numFmtId="0" fontId="19" fillId="0" borderId="0" xfId="0" applyFont="1" applyBorder="1" applyAlignment="1">
      <alignment horizontal="left"/>
    </xf>
    <xf numFmtId="0" fontId="0" fillId="0" borderId="0" xfId="0" applyAlignment="1">
      <alignment horizontal="left"/>
    </xf>
    <xf numFmtId="0" fontId="16" fillId="0" borderId="0" xfId="0" applyFont="1" applyAlignment="1">
      <alignment vertical="center" textRotation="90"/>
    </xf>
    <xf numFmtId="0" fontId="29" fillId="0" borderId="0" xfId="0" applyFont="1"/>
    <xf numFmtId="0" fontId="3" fillId="3" borderId="0" xfId="0" applyFont="1" applyFill="1" applyAlignment="1">
      <alignment horizontal="center" vertical="top" wrapText="1"/>
    </xf>
    <xf numFmtId="2" fontId="1" fillId="0" borderId="0" xfId="0" applyNumberFormat="1" applyFont="1"/>
    <xf numFmtId="2" fontId="3" fillId="3" borderId="0" xfId="0" applyNumberFormat="1" applyFont="1" applyFill="1" applyAlignment="1">
      <alignment horizontal="center" vertical="top" wrapText="1"/>
    </xf>
    <xf numFmtId="170" fontId="13" fillId="0" borderId="14" xfId="0" applyNumberFormat="1" applyFont="1" applyBorder="1" applyAlignment="1">
      <alignment horizontal="left"/>
    </xf>
    <xf numFmtId="20" fontId="13" fillId="0" borderId="14" xfId="0" applyNumberFormat="1" applyFont="1" applyBorder="1"/>
    <xf numFmtId="1" fontId="13" fillId="0" borderId="14" xfId="0" applyNumberFormat="1" applyFont="1" applyBorder="1"/>
    <xf numFmtId="1" fontId="13" fillId="0" borderId="14" xfId="0" applyNumberFormat="1" applyFont="1" applyBorder="1" applyAlignment="1"/>
    <xf numFmtId="171" fontId="13" fillId="0" borderId="14" xfId="1" applyNumberFormat="1" applyFont="1" applyBorder="1" applyAlignment="1"/>
    <xf numFmtId="1" fontId="13" fillId="0" borderId="14" xfId="1" applyNumberFormat="1" applyFont="1" applyBorder="1" applyAlignment="1"/>
    <xf numFmtId="166" fontId="13" fillId="0" borderId="14" xfId="1" applyNumberFormat="1" applyFont="1" applyBorder="1" applyAlignment="1"/>
    <xf numFmtId="0" fontId="13" fillId="0" borderId="14" xfId="0" applyFont="1" applyBorder="1"/>
    <xf numFmtId="0" fontId="1" fillId="0" borderId="0" xfId="0" applyFont="1" applyAlignment="1">
      <alignment wrapText="1"/>
    </xf>
    <xf numFmtId="0" fontId="31" fillId="0" borderId="0" xfId="0" applyFont="1"/>
    <xf numFmtId="20" fontId="14" fillId="0" borderId="0" xfId="2" applyNumberFormat="1" applyFont="1" applyAlignment="1">
      <alignment horizontal="left" textRotation="90"/>
    </xf>
    <xf numFmtId="2" fontId="14" fillId="0" borderId="0" xfId="2" applyNumberFormat="1" applyFont="1" applyAlignment="1">
      <alignment horizontal="left" textRotation="90"/>
    </xf>
    <xf numFmtId="2" fontId="21" fillId="0" borderId="0" xfId="2" applyNumberFormat="1" applyFont="1" applyAlignment="1">
      <alignment horizontal="left" textRotation="90"/>
    </xf>
    <xf numFmtId="2" fontId="22" fillId="0" borderId="0" xfId="2" applyNumberFormat="1" applyFont="1" applyAlignment="1">
      <alignment horizontal="left" textRotation="90"/>
    </xf>
    <xf numFmtId="20" fontId="14" fillId="0" borderId="0" xfId="2" applyNumberFormat="1" applyFont="1" applyAlignment="1">
      <alignment horizontal="right" textRotation="90"/>
    </xf>
    <xf numFmtId="20" fontId="14" fillId="0" borderId="0" xfId="2" applyNumberFormat="1" applyFont="1" applyAlignment="1">
      <alignment horizontal="center" textRotation="90"/>
    </xf>
    <xf numFmtId="0" fontId="26" fillId="0" borderId="0" xfId="0" applyFont="1" applyAlignment="1">
      <alignment horizontal="center" vertical="center" textRotation="90"/>
    </xf>
    <xf numFmtId="0" fontId="25" fillId="0" borderId="0" xfId="0" applyFont="1" applyAlignment="1">
      <alignment horizontal="center" vertical="center" textRotation="90"/>
    </xf>
  </cellXfs>
  <cellStyles count="3">
    <cellStyle name="Normal" xfId="0" builtinId="0"/>
    <cellStyle name="Normal 2" xfId="2" xr:uid="{00000000-0005-0000-0000-00000100000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vmlDrawing" Target="../drawings/vmlDrawing5.v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0384046415748807E-4"/>
          <c:y val="1.8566844850529535E-2"/>
          <c:w val="0.9993962011124512"/>
          <c:h val="0.98143274853801143"/>
        </c:manualLayout>
      </c:layout>
      <c:scatterChart>
        <c:scatterStyle val="smoothMarker"/>
        <c:varyColors val="0"/>
        <c:ser>
          <c:idx val="0"/>
          <c:order val="0"/>
          <c:tx>
            <c:v>light</c:v>
          </c:tx>
          <c:spPr>
            <a:ln w="12700" cap="flat" cmpd="sng" algn="ctr">
              <a:solidFill>
                <a:srgbClr val="FFFF00"/>
              </a:solidFill>
              <a:round/>
            </a:ln>
            <a:effectLst/>
          </c:spPr>
          <c:marker>
            <c:symbol val="none"/>
          </c:marker>
          <c:xVal>
            <c:numRef>
              <c:f>'Full Data Array'!$BE$4:$BE$1443</c:f>
              <c:numCache>
                <c:formatCode>h:mm</c:formatCode>
                <c:ptCount val="1440"/>
                <c:pt idx="0">
                  <c:v>0</c:v>
                </c:pt>
                <c:pt idx="1">
                  <c:v>6.9444444444444447E-4</c:v>
                </c:pt>
                <c:pt idx="2">
                  <c:v>1.3888888888888889E-3</c:v>
                </c:pt>
                <c:pt idx="3">
                  <c:v>2.0833333333333333E-3</c:v>
                </c:pt>
                <c:pt idx="4">
                  <c:v>2.7777777777777779E-3</c:v>
                </c:pt>
                <c:pt idx="5">
                  <c:v>3.4722222222222225E-3</c:v>
                </c:pt>
                <c:pt idx="6">
                  <c:v>4.1666666666666666E-3</c:v>
                </c:pt>
                <c:pt idx="7">
                  <c:v>4.8611111111111112E-3</c:v>
                </c:pt>
                <c:pt idx="8">
                  <c:v>5.5555555555555558E-3</c:v>
                </c:pt>
                <c:pt idx="9">
                  <c:v>6.2500000000000003E-3</c:v>
                </c:pt>
                <c:pt idx="10">
                  <c:v>6.9444444444444449E-3</c:v>
                </c:pt>
                <c:pt idx="11">
                  <c:v>7.6388888888888895E-3</c:v>
                </c:pt>
                <c:pt idx="12">
                  <c:v>8.3333333333333332E-3</c:v>
                </c:pt>
                <c:pt idx="13">
                  <c:v>9.0277777777777769E-3</c:v>
                </c:pt>
                <c:pt idx="14">
                  <c:v>9.7222222222222206E-3</c:v>
                </c:pt>
                <c:pt idx="15">
                  <c:v>1.0416666666666664E-2</c:v>
                </c:pt>
                <c:pt idx="16">
                  <c:v>1.1111111111111108E-2</c:v>
                </c:pt>
                <c:pt idx="17">
                  <c:v>1.1805555555555552E-2</c:v>
                </c:pt>
                <c:pt idx="18">
                  <c:v>1.2499999999999995E-2</c:v>
                </c:pt>
                <c:pt idx="19">
                  <c:v>1.3194444444444439E-2</c:v>
                </c:pt>
                <c:pt idx="20">
                  <c:v>1.3888888888888883E-2</c:v>
                </c:pt>
                <c:pt idx="21">
                  <c:v>1.4583333333333327E-2</c:v>
                </c:pt>
                <c:pt idx="22">
                  <c:v>1.527777777777777E-2</c:v>
                </c:pt>
                <c:pt idx="23">
                  <c:v>1.5972222222222214E-2</c:v>
                </c:pt>
                <c:pt idx="24">
                  <c:v>1.6666666666666659E-2</c:v>
                </c:pt>
                <c:pt idx="25">
                  <c:v>1.7361111111111105E-2</c:v>
                </c:pt>
                <c:pt idx="26">
                  <c:v>1.805555555555555E-2</c:v>
                </c:pt>
                <c:pt idx="27">
                  <c:v>1.8749999999999996E-2</c:v>
                </c:pt>
                <c:pt idx="28">
                  <c:v>1.9444444444444441E-2</c:v>
                </c:pt>
                <c:pt idx="29">
                  <c:v>2.0138888888888887E-2</c:v>
                </c:pt>
                <c:pt idx="30">
                  <c:v>2.0833333333333332E-2</c:v>
                </c:pt>
                <c:pt idx="31">
                  <c:v>2.1527777777777778E-2</c:v>
                </c:pt>
                <c:pt idx="32">
                  <c:v>2.2222222222222223E-2</c:v>
                </c:pt>
                <c:pt idx="33">
                  <c:v>2.2916666666666669E-2</c:v>
                </c:pt>
                <c:pt idx="34">
                  <c:v>2.3611111111111114E-2</c:v>
                </c:pt>
                <c:pt idx="35">
                  <c:v>2.4305555555555559E-2</c:v>
                </c:pt>
                <c:pt idx="36">
                  <c:v>2.5000000000000005E-2</c:v>
                </c:pt>
                <c:pt idx="37">
                  <c:v>2.569444444444445E-2</c:v>
                </c:pt>
                <c:pt idx="38">
                  <c:v>2.6388888888888896E-2</c:v>
                </c:pt>
                <c:pt idx="39">
                  <c:v>2.7083333333333341E-2</c:v>
                </c:pt>
                <c:pt idx="40">
                  <c:v>2.7777777777777787E-2</c:v>
                </c:pt>
                <c:pt idx="41">
                  <c:v>2.8472222222222232E-2</c:v>
                </c:pt>
                <c:pt idx="42">
                  <c:v>2.9166666666666678E-2</c:v>
                </c:pt>
                <c:pt idx="43">
                  <c:v>2.9861111111111123E-2</c:v>
                </c:pt>
                <c:pt idx="44">
                  <c:v>3.0555555555555568E-2</c:v>
                </c:pt>
                <c:pt idx="45">
                  <c:v>3.1250000000000014E-2</c:v>
                </c:pt>
                <c:pt idx="46">
                  <c:v>3.1944444444444456E-2</c:v>
                </c:pt>
                <c:pt idx="47">
                  <c:v>3.2638888888888898E-2</c:v>
                </c:pt>
                <c:pt idx="48">
                  <c:v>3.333333333333334E-2</c:v>
                </c:pt>
                <c:pt idx="49">
                  <c:v>3.4027777777777782E-2</c:v>
                </c:pt>
                <c:pt idx="50">
                  <c:v>3.4722222222222224E-2</c:v>
                </c:pt>
                <c:pt idx="51">
                  <c:v>3.5416666666666666E-2</c:v>
                </c:pt>
                <c:pt idx="52">
                  <c:v>3.6111111111111108E-2</c:v>
                </c:pt>
                <c:pt idx="53">
                  <c:v>3.680555555555555E-2</c:v>
                </c:pt>
                <c:pt idx="54">
                  <c:v>3.7499999999999992E-2</c:v>
                </c:pt>
                <c:pt idx="55">
                  <c:v>3.8194444444444434E-2</c:v>
                </c:pt>
                <c:pt idx="56">
                  <c:v>3.8888888888888876E-2</c:v>
                </c:pt>
                <c:pt idx="57">
                  <c:v>3.9583333333333318E-2</c:v>
                </c:pt>
                <c:pt idx="58">
                  <c:v>4.027777777777776E-2</c:v>
                </c:pt>
                <c:pt idx="59">
                  <c:v>4.0972222222222202E-2</c:v>
                </c:pt>
                <c:pt idx="60">
                  <c:v>4.1666666666666644E-2</c:v>
                </c:pt>
                <c:pt idx="61">
                  <c:v>4.2361111111111086E-2</c:v>
                </c:pt>
                <c:pt idx="62">
                  <c:v>4.3055555555555527E-2</c:v>
                </c:pt>
                <c:pt idx="63">
                  <c:v>4.3749999999999969E-2</c:v>
                </c:pt>
                <c:pt idx="64">
                  <c:v>4.4444444444444411E-2</c:v>
                </c:pt>
                <c:pt idx="65">
                  <c:v>4.5138888888888853E-2</c:v>
                </c:pt>
                <c:pt idx="66">
                  <c:v>4.5833333333333295E-2</c:v>
                </c:pt>
                <c:pt idx="67">
                  <c:v>4.6527777777777737E-2</c:v>
                </c:pt>
                <c:pt idx="68">
                  <c:v>4.7222222222222179E-2</c:v>
                </c:pt>
                <c:pt idx="69">
                  <c:v>4.7916666666666621E-2</c:v>
                </c:pt>
                <c:pt idx="70">
                  <c:v>4.8611111111111063E-2</c:v>
                </c:pt>
                <c:pt idx="71">
                  <c:v>4.9305555555555505E-2</c:v>
                </c:pt>
                <c:pt idx="72">
                  <c:v>4.9999999999999947E-2</c:v>
                </c:pt>
                <c:pt idx="73">
                  <c:v>5.0694444444444389E-2</c:v>
                </c:pt>
                <c:pt idx="74">
                  <c:v>5.1388888888888831E-2</c:v>
                </c:pt>
                <c:pt idx="75">
                  <c:v>5.2083333333333273E-2</c:v>
                </c:pt>
                <c:pt idx="76">
                  <c:v>5.2777777777777715E-2</c:v>
                </c:pt>
                <c:pt idx="77">
                  <c:v>5.3472222222222157E-2</c:v>
                </c:pt>
                <c:pt idx="78">
                  <c:v>5.4166666666666599E-2</c:v>
                </c:pt>
                <c:pt idx="79">
                  <c:v>5.4861111111111041E-2</c:v>
                </c:pt>
                <c:pt idx="80">
                  <c:v>5.5555555555555483E-2</c:v>
                </c:pt>
                <c:pt idx="81">
                  <c:v>5.6249999999999925E-2</c:v>
                </c:pt>
                <c:pt idx="82">
                  <c:v>5.6944444444444367E-2</c:v>
                </c:pt>
                <c:pt idx="83">
                  <c:v>5.7638888888888809E-2</c:v>
                </c:pt>
                <c:pt idx="84">
                  <c:v>5.8333333333333251E-2</c:v>
                </c:pt>
                <c:pt idx="85">
                  <c:v>5.9027777777777693E-2</c:v>
                </c:pt>
                <c:pt idx="86">
                  <c:v>5.9722222222222135E-2</c:v>
                </c:pt>
                <c:pt idx="87">
                  <c:v>6.0416666666666577E-2</c:v>
                </c:pt>
                <c:pt idx="88">
                  <c:v>6.1111111111111019E-2</c:v>
                </c:pt>
                <c:pt idx="89">
                  <c:v>6.1805555555555461E-2</c:v>
                </c:pt>
                <c:pt idx="90">
                  <c:v>6.2499999999999903E-2</c:v>
                </c:pt>
                <c:pt idx="91">
                  <c:v>6.3194444444444345E-2</c:v>
                </c:pt>
                <c:pt idx="92">
                  <c:v>6.3888888888888787E-2</c:v>
                </c:pt>
                <c:pt idx="93">
                  <c:v>6.4583333333333229E-2</c:v>
                </c:pt>
                <c:pt idx="94">
                  <c:v>6.5277777777777671E-2</c:v>
                </c:pt>
                <c:pt idx="95">
                  <c:v>6.5972222222222113E-2</c:v>
                </c:pt>
                <c:pt idx="96">
                  <c:v>6.6666666666666555E-2</c:v>
                </c:pt>
                <c:pt idx="97">
                  <c:v>6.7361111111110997E-2</c:v>
                </c:pt>
                <c:pt idx="98">
                  <c:v>6.8055555555555439E-2</c:v>
                </c:pt>
                <c:pt idx="99">
                  <c:v>6.8749999999999881E-2</c:v>
                </c:pt>
                <c:pt idx="100">
                  <c:v>6.9444444444444323E-2</c:v>
                </c:pt>
                <c:pt idx="101">
                  <c:v>7.0138888888888765E-2</c:v>
                </c:pt>
                <c:pt idx="102">
                  <c:v>7.0833333333333207E-2</c:v>
                </c:pt>
                <c:pt idx="103">
                  <c:v>7.1527777777777649E-2</c:v>
                </c:pt>
                <c:pt idx="104">
                  <c:v>7.2222222222222091E-2</c:v>
                </c:pt>
                <c:pt idx="105">
                  <c:v>7.2916666666666533E-2</c:v>
                </c:pt>
                <c:pt idx="106">
                  <c:v>7.3611111111110974E-2</c:v>
                </c:pt>
                <c:pt idx="107">
                  <c:v>7.4305555555555416E-2</c:v>
                </c:pt>
                <c:pt idx="108">
                  <c:v>7.4999999999999858E-2</c:v>
                </c:pt>
                <c:pt idx="109">
                  <c:v>7.56944444444443E-2</c:v>
                </c:pt>
                <c:pt idx="110">
                  <c:v>7.6388888888888742E-2</c:v>
                </c:pt>
                <c:pt idx="111">
                  <c:v>7.7083333333333184E-2</c:v>
                </c:pt>
                <c:pt idx="112">
                  <c:v>7.7777777777777626E-2</c:v>
                </c:pt>
                <c:pt idx="113">
                  <c:v>7.8472222222222068E-2</c:v>
                </c:pt>
                <c:pt idx="114">
                  <c:v>7.916666666666651E-2</c:v>
                </c:pt>
                <c:pt idx="115">
                  <c:v>7.9861111111110952E-2</c:v>
                </c:pt>
                <c:pt idx="116">
                  <c:v>8.0555555555555394E-2</c:v>
                </c:pt>
                <c:pt idx="117">
                  <c:v>8.1249999999999836E-2</c:v>
                </c:pt>
                <c:pt idx="118">
                  <c:v>8.1944444444444278E-2</c:v>
                </c:pt>
                <c:pt idx="119">
                  <c:v>8.263888888888872E-2</c:v>
                </c:pt>
                <c:pt idx="120">
                  <c:v>8.3333333333333162E-2</c:v>
                </c:pt>
                <c:pt idx="121">
                  <c:v>8.4027777777777604E-2</c:v>
                </c:pt>
                <c:pt idx="122">
                  <c:v>8.4722222222222046E-2</c:v>
                </c:pt>
                <c:pt idx="123">
                  <c:v>8.5416666666666488E-2</c:v>
                </c:pt>
                <c:pt idx="124">
                  <c:v>8.611111111111093E-2</c:v>
                </c:pt>
                <c:pt idx="125">
                  <c:v>8.6805555555555372E-2</c:v>
                </c:pt>
                <c:pt idx="126">
                  <c:v>8.7499999999999814E-2</c:v>
                </c:pt>
                <c:pt idx="127">
                  <c:v>8.8194444444444256E-2</c:v>
                </c:pt>
                <c:pt idx="128">
                  <c:v>8.8888888888888698E-2</c:v>
                </c:pt>
                <c:pt idx="129">
                  <c:v>8.958333333333314E-2</c:v>
                </c:pt>
                <c:pt idx="130">
                  <c:v>9.0277777777777582E-2</c:v>
                </c:pt>
                <c:pt idx="131">
                  <c:v>9.0972222222222024E-2</c:v>
                </c:pt>
                <c:pt idx="132">
                  <c:v>9.1666666666666466E-2</c:v>
                </c:pt>
                <c:pt idx="133">
                  <c:v>9.2361111111110908E-2</c:v>
                </c:pt>
                <c:pt idx="134">
                  <c:v>9.305555555555535E-2</c:v>
                </c:pt>
                <c:pt idx="135">
                  <c:v>9.3749999999999792E-2</c:v>
                </c:pt>
                <c:pt idx="136">
                  <c:v>9.4444444444444234E-2</c:v>
                </c:pt>
                <c:pt idx="137">
                  <c:v>9.5138888888888676E-2</c:v>
                </c:pt>
                <c:pt idx="138">
                  <c:v>9.5833333333333118E-2</c:v>
                </c:pt>
                <c:pt idx="139">
                  <c:v>9.652777777777756E-2</c:v>
                </c:pt>
                <c:pt idx="140">
                  <c:v>9.7222222222222002E-2</c:v>
                </c:pt>
                <c:pt idx="141">
                  <c:v>9.7916666666666444E-2</c:v>
                </c:pt>
                <c:pt idx="142">
                  <c:v>9.8611111111110886E-2</c:v>
                </c:pt>
                <c:pt idx="143">
                  <c:v>9.9305555555555328E-2</c:v>
                </c:pt>
                <c:pt idx="144">
                  <c:v>9.999999999999977E-2</c:v>
                </c:pt>
                <c:pt idx="145">
                  <c:v>0.10069444444444421</c:v>
                </c:pt>
                <c:pt idx="146">
                  <c:v>0.10138888888888865</c:v>
                </c:pt>
                <c:pt idx="147">
                  <c:v>0.1020833333333331</c:v>
                </c:pt>
                <c:pt idx="148">
                  <c:v>0.10277777777777754</c:v>
                </c:pt>
                <c:pt idx="149">
                  <c:v>0.10347222222222198</c:v>
                </c:pt>
                <c:pt idx="150">
                  <c:v>0.10416666666666642</c:v>
                </c:pt>
                <c:pt idx="151">
                  <c:v>0.10486111111111086</c:v>
                </c:pt>
                <c:pt idx="152">
                  <c:v>0.10555555555555531</c:v>
                </c:pt>
                <c:pt idx="153">
                  <c:v>0.10624999999999975</c:v>
                </c:pt>
                <c:pt idx="154">
                  <c:v>0.10694444444444419</c:v>
                </c:pt>
                <c:pt idx="155">
                  <c:v>0.10763888888888863</c:v>
                </c:pt>
                <c:pt idx="156">
                  <c:v>0.10833333333333307</c:v>
                </c:pt>
                <c:pt idx="157">
                  <c:v>0.10902777777777752</c:v>
                </c:pt>
                <c:pt idx="158">
                  <c:v>0.10972222222222196</c:v>
                </c:pt>
                <c:pt idx="159">
                  <c:v>0.1104166666666664</c:v>
                </c:pt>
                <c:pt idx="160">
                  <c:v>0.11111111111111084</c:v>
                </c:pt>
                <c:pt idx="161">
                  <c:v>0.11180555555555528</c:v>
                </c:pt>
                <c:pt idx="162">
                  <c:v>0.11249999999999973</c:v>
                </c:pt>
                <c:pt idx="163">
                  <c:v>0.11319444444444417</c:v>
                </c:pt>
                <c:pt idx="164">
                  <c:v>0.11388888888888861</c:v>
                </c:pt>
                <c:pt idx="165">
                  <c:v>0.11458333333333305</c:v>
                </c:pt>
                <c:pt idx="166">
                  <c:v>0.11527777777777749</c:v>
                </c:pt>
                <c:pt idx="167">
                  <c:v>0.11597222222222194</c:v>
                </c:pt>
                <c:pt idx="168">
                  <c:v>0.11666666666666638</c:v>
                </c:pt>
                <c:pt idx="169">
                  <c:v>0.11736111111111082</c:v>
                </c:pt>
                <c:pt idx="170">
                  <c:v>0.11805555555555526</c:v>
                </c:pt>
                <c:pt idx="171">
                  <c:v>0.1187499999999997</c:v>
                </c:pt>
                <c:pt idx="172">
                  <c:v>0.11944444444444414</c:v>
                </c:pt>
                <c:pt idx="173">
                  <c:v>0.12013888888888859</c:v>
                </c:pt>
                <c:pt idx="174">
                  <c:v>0.12083333333333303</c:v>
                </c:pt>
                <c:pt idx="175">
                  <c:v>0.12152777777777747</c:v>
                </c:pt>
                <c:pt idx="176">
                  <c:v>0.12222222222222191</c:v>
                </c:pt>
                <c:pt idx="177">
                  <c:v>0.12291666666666635</c:v>
                </c:pt>
                <c:pt idx="178">
                  <c:v>0.1236111111111108</c:v>
                </c:pt>
                <c:pt idx="179">
                  <c:v>0.12430555555555524</c:v>
                </c:pt>
                <c:pt idx="180">
                  <c:v>0.12499999999999968</c:v>
                </c:pt>
                <c:pt idx="181">
                  <c:v>0.12569444444444414</c:v>
                </c:pt>
                <c:pt idx="182">
                  <c:v>0.12638888888888858</c:v>
                </c:pt>
                <c:pt idx="183">
                  <c:v>0.12708333333333302</c:v>
                </c:pt>
                <c:pt idx="184">
                  <c:v>0.12777777777777746</c:v>
                </c:pt>
                <c:pt idx="185">
                  <c:v>0.1284722222222219</c:v>
                </c:pt>
                <c:pt idx="186">
                  <c:v>0.12916666666666635</c:v>
                </c:pt>
                <c:pt idx="187">
                  <c:v>0.12986111111111079</c:v>
                </c:pt>
                <c:pt idx="188">
                  <c:v>0.13055555555555523</c:v>
                </c:pt>
                <c:pt idx="189">
                  <c:v>0.13124999999999967</c:v>
                </c:pt>
                <c:pt idx="190">
                  <c:v>0.13194444444444411</c:v>
                </c:pt>
                <c:pt idx="191">
                  <c:v>0.13263888888888856</c:v>
                </c:pt>
                <c:pt idx="192">
                  <c:v>0.133333333333333</c:v>
                </c:pt>
                <c:pt idx="193">
                  <c:v>0.13402777777777744</c:v>
                </c:pt>
                <c:pt idx="194">
                  <c:v>0.13472222222222188</c:v>
                </c:pt>
                <c:pt idx="195">
                  <c:v>0.13541666666666632</c:v>
                </c:pt>
                <c:pt idx="196">
                  <c:v>0.13611111111111077</c:v>
                </c:pt>
                <c:pt idx="197">
                  <c:v>0.13680555555555521</c:v>
                </c:pt>
                <c:pt idx="198">
                  <c:v>0.13749999999999965</c:v>
                </c:pt>
                <c:pt idx="199">
                  <c:v>0.13819444444444409</c:v>
                </c:pt>
                <c:pt idx="200">
                  <c:v>0.13888888888888853</c:v>
                </c:pt>
                <c:pt idx="201">
                  <c:v>0.13958333333333298</c:v>
                </c:pt>
                <c:pt idx="202">
                  <c:v>0.14027777777777742</c:v>
                </c:pt>
                <c:pt idx="203">
                  <c:v>0.14097222222222186</c:v>
                </c:pt>
                <c:pt idx="204">
                  <c:v>0.1416666666666663</c:v>
                </c:pt>
                <c:pt idx="205">
                  <c:v>0.14236111111111074</c:v>
                </c:pt>
                <c:pt idx="206">
                  <c:v>0.14305555555555519</c:v>
                </c:pt>
                <c:pt idx="207">
                  <c:v>0.14374999999999963</c:v>
                </c:pt>
                <c:pt idx="208">
                  <c:v>0.14444444444444407</c:v>
                </c:pt>
                <c:pt idx="209">
                  <c:v>0.14513888888888851</c:v>
                </c:pt>
                <c:pt idx="210">
                  <c:v>0.14583333333333295</c:v>
                </c:pt>
                <c:pt idx="211">
                  <c:v>0.1465277777777774</c:v>
                </c:pt>
                <c:pt idx="212">
                  <c:v>0.14722222222222184</c:v>
                </c:pt>
                <c:pt idx="213">
                  <c:v>0.14791666666666628</c:v>
                </c:pt>
                <c:pt idx="214">
                  <c:v>0.14861111111111072</c:v>
                </c:pt>
                <c:pt idx="215">
                  <c:v>0.14930555555555516</c:v>
                </c:pt>
                <c:pt idx="216">
                  <c:v>0.14999999999999961</c:v>
                </c:pt>
                <c:pt idx="217">
                  <c:v>0.15069444444444405</c:v>
                </c:pt>
                <c:pt idx="218">
                  <c:v>0.15138888888888849</c:v>
                </c:pt>
                <c:pt idx="219">
                  <c:v>0.15208333333333293</c:v>
                </c:pt>
                <c:pt idx="220">
                  <c:v>0.15277777777777737</c:v>
                </c:pt>
                <c:pt idx="221">
                  <c:v>0.15347222222222182</c:v>
                </c:pt>
                <c:pt idx="222">
                  <c:v>0.15416666666666626</c:v>
                </c:pt>
                <c:pt idx="223">
                  <c:v>0.1548611111111107</c:v>
                </c:pt>
                <c:pt idx="224">
                  <c:v>0.15555555555555514</c:v>
                </c:pt>
                <c:pt idx="225">
                  <c:v>0.15624999999999958</c:v>
                </c:pt>
                <c:pt idx="226">
                  <c:v>0.15694444444444403</c:v>
                </c:pt>
                <c:pt idx="227">
                  <c:v>0.15763888888888847</c:v>
                </c:pt>
                <c:pt idx="228">
                  <c:v>0.15833333333333291</c:v>
                </c:pt>
                <c:pt idx="229">
                  <c:v>0.15902777777777735</c:v>
                </c:pt>
                <c:pt idx="230">
                  <c:v>0.15972222222222179</c:v>
                </c:pt>
                <c:pt idx="231">
                  <c:v>0.16041666666666624</c:v>
                </c:pt>
                <c:pt idx="232">
                  <c:v>0.16111111111111068</c:v>
                </c:pt>
                <c:pt idx="233">
                  <c:v>0.16180555555555512</c:v>
                </c:pt>
                <c:pt idx="234">
                  <c:v>0.16249999999999956</c:v>
                </c:pt>
                <c:pt idx="235">
                  <c:v>0.163194444444444</c:v>
                </c:pt>
                <c:pt idx="236">
                  <c:v>0.16388888888888845</c:v>
                </c:pt>
                <c:pt idx="237">
                  <c:v>0.16458333333333289</c:v>
                </c:pt>
                <c:pt idx="238">
                  <c:v>0.16527777777777733</c:v>
                </c:pt>
                <c:pt idx="239">
                  <c:v>0.16597222222222177</c:v>
                </c:pt>
                <c:pt idx="240">
                  <c:v>0.16666666666666621</c:v>
                </c:pt>
                <c:pt idx="241">
                  <c:v>0.16736111111111066</c:v>
                </c:pt>
                <c:pt idx="242">
                  <c:v>0.1680555555555551</c:v>
                </c:pt>
                <c:pt idx="243">
                  <c:v>0.16874999999999954</c:v>
                </c:pt>
                <c:pt idx="244">
                  <c:v>0.16944444444444398</c:v>
                </c:pt>
                <c:pt idx="245">
                  <c:v>0.17013888888888842</c:v>
                </c:pt>
                <c:pt idx="246">
                  <c:v>0.17083333333333287</c:v>
                </c:pt>
                <c:pt idx="247">
                  <c:v>0.17152777777777731</c:v>
                </c:pt>
                <c:pt idx="248">
                  <c:v>0.17222222222222175</c:v>
                </c:pt>
                <c:pt idx="249">
                  <c:v>0.17291666666666619</c:v>
                </c:pt>
                <c:pt idx="250">
                  <c:v>0.17361111111111063</c:v>
                </c:pt>
                <c:pt idx="251">
                  <c:v>0.17430555555555508</c:v>
                </c:pt>
                <c:pt idx="252">
                  <c:v>0.17499999999999952</c:v>
                </c:pt>
                <c:pt idx="253">
                  <c:v>0.17569444444444396</c:v>
                </c:pt>
                <c:pt idx="254">
                  <c:v>0.1763888888888884</c:v>
                </c:pt>
                <c:pt idx="255">
                  <c:v>0.17708333333333284</c:v>
                </c:pt>
                <c:pt idx="256">
                  <c:v>0.17777777777777728</c:v>
                </c:pt>
                <c:pt idx="257">
                  <c:v>0.17847222222222173</c:v>
                </c:pt>
                <c:pt idx="258">
                  <c:v>0.17916666666666617</c:v>
                </c:pt>
                <c:pt idx="259">
                  <c:v>0.17986111111111061</c:v>
                </c:pt>
                <c:pt idx="260">
                  <c:v>0.18055555555555505</c:v>
                </c:pt>
                <c:pt idx="261">
                  <c:v>0.18124999999999949</c:v>
                </c:pt>
                <c:pt idx="262">
                  <c:v>0.18194444444444394</c:v>
                </c:pt>
                <c:pt idx="263">
                  <c:v>0.18263888888888838</c:v>
                </c:pt>
                <c:pt idx="264">
                  <c:v>0.18333333333333282</c:v>
                </c:pt>
                <c:pt idx="265">
                  <c:v>0.18402777777777726</c:v>
                </c:pt>
                <c:pt idx="266">
                  <c:v>0.1847222222222217</c:v>
                </c:pt>
                <c:pt idx="267">
                  <c:v>0.18541666666666615</c:v>
                </c:pt>
                <c:pt idx="268">
                  <c:v>0.18611111111111059</c:v>
                </c:pt>
                <c:pt idx="269">
                  <c:v>0.18680555555555503</c:v>
                </c:pt>
                <c:pt idx="270">
                  <c:v>0.18749999999999947</c:v>
                </c:pt>
                <c:pt idx="271">
                  <c:v>0.18819444444444391</c:v>
                </c:pt>
                <c:pt idx="272">
                  <c:v>0.18888888888888836</c:v>
                </c:pt>
                <c:pt idx="273">
                  <c:v>0.1895833333333328</c:v>
                </c:pt>
                <c:pt idx="274">
                  <c:v>0.19027777777777724</c:v>
                </c:pt>
                <c:pt idx="275">
                  <c:v>0.19097222222222168</c:v>
                </c:pt>
                <c:pt idx="276">
                  <c:v>0.19166666666666612</c:v>
                </c:pt>
                <c:pt idx="277">
                  <c:v>0.19236111111111057</c:v>
                </c:pt>
                <c:pt idx="278">
                  <c:v>0.19305555555555501</c:v>
                </c:pt>
                <c:pt idx="279">
                  <c:v>0.19374999999999945</c:v>
                </c:pt>
                <c:pt idx="280">
                  <c:v>0.19444444444444389</c:v>
                </c:pt>
                <c:pt idx="281">
                  <c:v>0.19513888888888833</c:v>
                </c:pt>
                <c:pt idx="282">
                  <c:v>0.19583333333333278</c:v>
                </c:pt>
                <c:pt idx="283">
                  <c:v>0.19652777777777722</c:v>
                </c:pt>
                <c:pt idx="284">
                  <c:v>0.19722222222222166</c:v>
                </c:pt>
                <c:pt idx="285">
                  <c:v>0.1979166666666661</c:v>
                </c:pt>
                <c:pt idx="286">
                  <c:v>0.19861111111111054</c:v>
                </c:pt>
                <c:pt idx="287">
                  <c:v>0.19930555555555499</c:v>
                </c:pt>
                <c:pt idx="288">
                  <c:v>0.19999999999999943</c:v>
                </c:pt>
                <c:pt idx="289">
                  <c:v>0.20069444444444387</c:v>
                </c:pt>
                <c:pt idx="290">
                  <c:v>0.20138888888888831</c:v>
                </c:pt>
                <c:pt idx="291">
                  <c:v>0.20208333333333275</c:v>
                </c:pt>
                <c:pt idx="292">
                  <c:v>0.2027777777777772</c:v>
                </c:pt>
                <c:pt idx="293">
                  <c:v>0.20347222222222164</c:v>
                </c:pt>
                <c:pt idx="294">
                  <c:v>0.20416666666666608</c:v>
                </c:pt>
                <c:pt idx="295">
                  <c:v>0.20486111111111052</c:v>
                </c:pt>
                <c:pt idx="296">
                  <c:v>0.20555555555555496</c:v>
                </c:pt>
                <c:pt idx="297">
                  <c:v>0.20624999999999941</c:v>
                </c:pt>
                <c:pt idx="298">
                  <c:v>0.20694444444444385</c:v>
                </c:pt>
                <c:pt idx="299">
                  <c:v>0.20763888888888829</c:v>
                </c:pt>
                <c:pt idx="300">
                  <c:v>0.20833333333333273</c:v>
                </c:pt>
                <c:pt idx="301">
                  <c:v>0.20902777777777717</c:v>
                </c:pt>
                <c:pt idx="302">
                  <c:v>0.20972222222222162</c:v>
                </c:pt>
                <c:pt idx="303">
                  <c:v>0.21041666666666606</c:v>
                </c:pt>
                <c:pt idx="304">
                  <c:v>0.2111111111111105</c:v>
                </c:pt>
                <c:pt idx="305">
                  <c:v>0.21180555555555494</c:v>
                </c:pt>
                <c:pt idx="306">
                  <c:v>0.21249999999999938</c:v>
                </c:pt>
                <c:pt idx="307">
                  <c:v>0.21319444444444383</c:v>
                </c:pt>
                <c:pt idx="308">
                  <c:v>0.21388888888888827</c:v>
                </c:pt>
                <c:pt idx="309">
                  <c:v>0.21458333333333271</c:v>
                </c:pt>
                <c:pt idx="310">
                  <c:v>0.21527777777777715</c:v>
                </c:pt>
                <c:pt idx="311">
                  <c:v>0.21597222222222159</c:v>
                </c:pt>
                <c:pt idx="312">
                  <c:v>0.21666666666666604</c:v>
                </c:pt>
                <c:pt idx="313">
                  <c:v>0.21736111111111048</c:v>
                </c:pt>
                <c:pt idx="314">
                  <c:v>0.21805555555555492</c:v>
                </c:pt>
                <c:pt idx="315">
                  <c:v>0.21874999999999936</c:v>
                </c:pt>
                <c:pt idx="316">
                  <c:v>0.2194444444444438</c:v>
                </c:pt>
                <c:pt idx="317">
                  <c:v>0.22013888888888825</c:v>
                </c:pt>
                <c:pt idx="318">
                  <c:v>0.22083333333333269</c:v>
                </c:pt>
                <c:pt idx="319">
                  <c:v>0.22152777777777713</c:v>
                </c:pt>
                <c:pt idx="320">
                  <c:v>0.22222222222222157</c:v>
                </c:pt>
                <c:pt idx="321">
                  <c:v>0.22291666666666601</c:v>
                </c:pt>
                <c:pt idx="322">
                  <c:v>0.22361111111111046</c:v>
                </c:pt>
                <c:pt idx="323">
                  <c:v>0.2243055555555549</c:v>
                </c:pt>
                <c:pt idx="324">
                  <c:v>0.22499999999999934</c:v>
                </c:pt>
                <c:pt idx="325">
                  <c:v>0.22569444444444378</c:v>
                </c:pt>
                <c:pt idx="326">
                  <c:v>0.22638888888888822</c:v>
                </c:pt>
                <c:pt idx="327">
                  <c:v>0.22708333333333267</c:v>
                </c:pt>
                <c:pt idx="328">
                  <c:v>0.22777777777777711</c:v>
                </c:pt>
                <c:pt idx="329">
                  <c:v>0.22847222222222155</c:v>
                </c:pt>
                <c:pt idx="330">
                  <c:v>0.22916666666666599</c:v>
                </c:pt>
                <c:pt idx="331">
                  <c:v>0.22986111111111043</c:v>
                </c:pt>
                <c:pt idx="332">
                  <c:v>0.23055555555555488</c:v>
                </c:pt>
                <c:pt idx="333">
                  <c:v>0.23124999999999932</c:v>
                </c:pt>
                <c:pt idx="334">
                  <c:v>0.23194444444444376</c:v>
                </c:pt>
                <c:pt idx="335">
                  <c:v>0.2326388888888882</c:v>
                </c:pt>
                <c:pt idx="336">
                  <c:v>0.23333333333333264</c:v>
                </c:pt>
                <c:pt idx="337">
                  <c:v>0.23402777777777709</c:v>
                </c:pt>
                <c:pt idx="338">
                  <c:v>0.23472222222222153</c:v>
                </c:pt>
                <c:pt idx="339">
                  <c:v>0.23541666666666597</c:v>
                </c:pt>
                <c:pt idx="340">
                  <c:v>0.23611111111111041</c:v>
                </c:pt>
                <c:pt idx="341">
                  <c:v>0.23680555555555485</c:v>
                </c:pt>
                <c:pt idx="342">
                  <c:v>0.2374999999999993</c:v>
                </c:pt>
                <c:pt idx="343">
                  <c:v>0.23819444444444374</c:v>
                </c:pt>
                <c:pt idx="344">
                  <c:v>0.23888888888888818</c:v>
                </c:pt>
                <c:pt idx="345">
                  <c:v>0.23958333333333262</c:v>
                </c:pt>
                <c:pt idx="346">
                  <c:v>0.24027777777777706</c:v>
                </c:pt>
                <c:pt idx="347">
                  <c:v>0.2409722222222215</c:v>
                </c:pt>
                <c:pt idx="348">
                  <c:v>0.24166666666666595</c:v>
                </c:pt>
                <c:pt idx="349">
                  <c:v>0.24236111111111039</c:v>
                </c:pt>
                <c:pt idx="350">
                  <c:v>0.24305555555555483</c:v>
                </c:pt>
                <c:pt idx="351">
                  <c:v>0.24374999999999927</c:v>
                </c:pt>
                <c:pt idx="352">
                  <c:v>0.24444444444444371</c:v>
                </c:pt>
                <c:pt idx="353">
                  <c:v>0.24513888888888816</c:v>
                </c:pt>
                <c:pt idx="354">
                  <c:v>0.2458333333333326</c:v>
                </c:pt>
                <c:pt idx="355">
                  <c:v>0.24652777777777704</c:v>
                </c:pt>
                <c:pt idx="356">
                  <c:v>0.24722222222222148</c:v>
                </c:pt>
                <c:pt idx="357">
                  <c:v>0.24791666666666592</c:v>
                </c:pt>
                <c:pt idx="358">
                  <c:v>0.24861111111111037</c:v>
                </c:pt>
                <c:pt idx="359">
                  <c:v>0.24930555555555481</c:v>
                </c:pt>
                <c:pt idx="360">
                  <c:v>0.24999999999999925</c:v>
                </c:pt>
                <c:pt idx="361">
                  <c:v>0.25069444444444372</c:v>
                </c:pt>
                <c:pt idx="362">
                  <c:v>0.25138888888888816</c:v>
                </c:pt>
                <c:pt idx="363">
                  <c:v>0.2520833333333326</c:v>
                </c:pt>
                <c:pt idx="364">
                  <c:v>0.25277777777777705</c:v>
                </c:pt>
                <c:pt idx="365">
                  <c:v>0.25347222222222149</c:v>
                </c:pt>
                <c:pt idx="366">
                  <c:v>0.25416666666666593</c:v>
                </c:pt>
                <c:pt idx="367">
                  <c:v>0.25486111111111037</c:v>
                </c:pt>
                <c:pt idx="368">
                  <c:v>0.25555555555555481</c:v>
                </c:pt>
                <c:pt idx="369">
                  <c:v>0.25624999999999926</c:v>
                </c:pt>
                <c:pt idx="370">
                  <c:v>0.2569444444444437</c:v>
                </c:pt>
                <c:pt idx="371">
                  <c:v>0.25763888888888814</c:v>
                </c:pt>
                <c:pt idx="372">
                  <c:v>0.25833333333333258</c:v>
                </c:pt>
                <c:pt idx="373">
                  <c:v>0.25902777777777702</c:v>
                </c:pt>
                <c:pt idx="374">
                  <c:v>0.25972222222222147</c:v>
                </c:pt>
                <c:pt idx="375">
                  <c:v>0.26041666666666591</c:v>
                </c:pt>
                <c:pt idx="376">
                  <c:v>0.26111111111111035</c:v>
                </c:pt>
                <c:pt idx="377">
                  <c:v>0.26180555555555479</c:v>
                </c:pt>
                <c:pt idx="378">
                  <c:v>0.26249999999999923</c:v>
                </c:pt>
                <c:pt idx="379">
                  <c:v>0.26319444444444368</c:v>
                </c:pt>
                <c:pt idx="380">
                  <c:v>0.26388888888888812</c:v>
                </c:pt>
                <c:pt idx="381">
                  <c:v>0.26458333333333256</c:v>
                </c:pt>
                <c:pt idx="382">
                  <c:v>0.265277777777777</c:v>
                </c:pt>
                <c:pt idx="383">
                  <c:v>0.26597222222222144</c:v>
                </c:pt>
                <c:pt idx="384">
                  <c:v>0.26666666666666589</c:v>
                </c:pt>
                <c:pt idx="385">
                  <c:v>0.26736111111111033</c:v>
                </c:pt>
                <c:pt idx="386">
                  <c:v>0.26805555555555477</c:v>
                </c:pt>
                <c:pt idx="387">
                  <c:v>0.26874999999999921</c:v>
                </c:pt>
                <c:pt idx="388">
                  <c:v>0.26944444444444365</c:v>
                </c:pt>
                <c:pt idx="389">
                  <c:v>0.2701388888888881</c:v>
                </c:pt>
                <c:pt idx="390">
                  <c:v>0.27083333333333254</c:v>
                </c:pt>
                <c:pt idx="391">
                  <c:v>0.27152777777777698</c:v>
                </c:pt>
                <c:pt idx="392">
                  <c:v>0.27222222222222142</c:v>
                </c:pt>
                <c:pt idx="393">
                  <c:v>0.27291666666666586</c:v>
                </c:pt>
                <c:pt idx="394">
                  <c:v>0.27361111111111031</c:v>
                </c:pt>
                <c:pt idx="395">
                  <c:v>0.27430555555555475</c:v>
                </c:pt>
                <c:pt idx="396">
                  <c:v>0.27499999999999919</c:v>
                </c:pt>
                <c:pt idx="397">
                  <c:v>0.27569444444444363</c:v>
                </c:pt>
                <c:pt idx="398">
                  <c:v>0.27638888888888807</c:v>
                </c:pt>
                <c:pt idx="399">
                  <c:v>0.27708333333333252</c:v>
                </c:pt>
                <c:pt idx="400">
                  <c:v>0.27777777777777696</c:v>
                </c:pt>
                <c:pt idx="401">
                  <c:v>0.2784722222222214</c:v>
                </c:pt>
                <c:pt idx="402">
                  <c:v>0.27916666666666584</c:v>
                </c:pt>
                <c:pt idx="403">
                  <c:v>0.27986111111111028</c:v>
                </c:pt>
                <c:pt idx="404">
                  <c:v>0.28055555555555473</c:v>
                </c:pt>
                <c:pt idx="405">
                  <c:v>0.28124999999999917</c:v>
                </c:pt>
                <c:pt idx="406">
                  <c:v>0.28194444444444361</c:v>
                </c:pt>
                <c:pt idx="407">
                  <c:v>0.28263888888888805</c:v>
                </c:pt>
                <c:pt idx="408">
                  <c:v>0.28333333333333249</c:v>
                </c:pt>
                <c:pt idx="409">
                  <c:v>0.28402777777777694</c:v>
                </c:pt>
                <c:pt idx="410">
                  <c:v>0.28472222222222138</c:v>
                </c:pt>
                <c:pt idx="411">
                  <c:v>0.28541666666666582</c:v>
                </c:pt>
                <c:pt idx="412">
                  <c:v>0.28611111111111026</c:v>
                </c:pt>
                <c:pt idx="413">
                  <c:v>0.2868055555555547</c:v>
                </c:pt>
                <c:pt idx="414">
                  <c:v>0.28749999999999915</c:v>
                </c:pt>
                <c:pt idx="415">
                  <c:v>0.28819444444444359</c:v>
                </c:pt>
                <c:pt idx="416">
                  <c:v>0.28888888888888803</c:v>
                </c:pt>
                <c:pt idx="417">
                  <c:v>0.28958333333333247</c:v>
                </c:pt>
                <c:pt idx="418">
                  <c:v>0.29027777777777691</c:v>
                </c:pt>
                <c:pt idx="419">
                  <c:v>0.29097222222222136</c:v>
                </c:pt>
                <c:pt idx="420">
                  <c:v>0.2916666666666658</c:v>
                </c:pt>
                <c:pt idx="421">
                  <c:v>0.29236111111111024</c:v>
                </c:pt>
                <c:pt idx="422">
                  <c:v>0.29305555555555468</c:v>
                </c:pt>
                <c:pt idx="423">
                  <c:v>0.29374999999999912</c:v>
                </c:pt>
                <c:pt idx="424">
                  <c:v>0.29444444444444356</c:v>
                </c:pt>
                <c:pt idx="425">
                  <c:v>0.29513888888888801</c:v>
                </c:pt>
                <c:pt idx="426">
                  <c:v>0.29583333333333245</c:v>
                </c:pt>
                <c:pt idx="427">
                  <c:v>0.29652777777777689</c:v>
                </c:pt>
                <c:pt idx="428">
                  <c:v>0.29722222222222133</c:v>
                </c:pt>
                <c:pt idx="429">
                  <c:v>0.29791666666666577</c:v>
                </c:pt>
                <c:pt idx="430">
                  <c:v>0.29861111111111022</c:v>
                </c:pt>
                <c:pt idx="431">
                  <c:v>0.29930555555555466</c:v>
                </c:pt>
                <c:pt idx="432">
                  <c:v>0.2999999999999991</c:v>
                </c:pt>
                <c:pt idx="433">
                  <c:v>0.30069444444444354</c:v>
                </c:pt>
                <c:pt idx="434">
                  <c:v>0.30138888888888798</c:v>
                </c:pt>
                <c:pt idx="435">
                  <c:v>0.30208333333333243</c:v>
                </c:pt>
                <c:pt idx="436">
                  <c:v>0.30277777777777687</c:v>
                </c:pt>
                <c:pt idx="437">
                  <c:v>0.30347222222222131</c:v>
                </c:pt>
                <c:pt idx="438">
                  <c:v>0.30416666666666575</c:v>
                </c:pt>
                <c:pt idx="439">
                  <c:v>0.30486111111111019</c:v>
                </c:pt>
                <c:pt idx="440">
                  <c:v>0.30555555555555464</c:v>
                </c:pt>
                <c:pt idx="441">
                  <c:v>0.30624999999999908</c:v>
                </c:pt>
                <c:pt idx="442">
                  <c:v>0.30694444444444352</c:v>
                </c:pt>
                <c:pt idx="443">
                  <c:v>0.30763888888888796</c:v>
                </c:pt>
                <c:pt idx="444">
                  <c:v>0.3083333333333324</c:v>
                </c:pt>
                <c:pt idx="445">
                  <c:v>0.30902777777777685</c:v>
                </c:pt>
                <c:pt idx="446">
                  <c:v>0.30972222222222129</c:v>
                </c:pt>
                <c:pt idx="447">
                  <c:v>0.31041666666666573</c:v>
                </c:pt>
                <c:pt idx="448">
                  <c:v>0.31111111111111017</c:v>
                </c:pt>
                <c:pt idx="449">
                  <c:v>0.31180555555555461</c:v>
                </c:pt>
                <c:pt idx="450">
                  <c:v>0.31249999999999906</c:v>
                </c:pt>
                <c:pt idx="451">
                  <c:v>0.3131944444444435</c:v>
                </c:pt>
                <c:pt idx="452">
                  <c:v>0.31388888888888794</c:v>
                </c:pt>
                <c:pt idx="453">
                  <c:v>0.31458333333333238</c:v>
                </c:pt>
                <c:pt idx="454">
                  <c:v>0.31527777777777682</c:v>
                </c:pt>
                <c:pt idx="455">
                  <c:v>0.31597222222222127</c:v>
                </c:pt>
                <c:pt idx="456">
                  <c:v>0.31666666666666571</c:v>
                </c:pt>
                <c:pt idx="457">
                  <c:v>0.31736111111111015</c:v>
                </c:pt>
                <c:pt idx="458">
                  <c:v>0.31805555555555459</c:v>
                </c:pt>
                <c:pt idx="459">
                  <c:v>0.31874999999999903</c:v>
                </c:pt>
                <c:pt idx="460">
                  <c:v>0.31944444444444348</c:v>
                </c:pt>
                <c:pt idx="461">
                  <c:v>0.32013888888888792</c:v>
                </c:pt>
                <c:pt idx="462">
                  <c:v>0.32083333333333236</c:v>
                </c:pt>
                <c:pt idx="463">
                  <c:v>0.3215277777777768</c:v>
                </c:pt>
                <c:pt idx="464">
                  <c:v>0.32222222222222124</c:v>
                </c:pt>
                <c:pt idx="465">
                  <c:v>0.32291666666666569</c:v>
                </c:pt>
                <c:pt idx="466">
                  <c:v>0.32361111111111013</c:v>
                </c:pt>
                <c:pt idx="467">
                  <c:v>0.32430555555555457</c:v>
                </c:pt>
                <c:pt idx="468">
                  <c:v>0.32499999999999901</c:v>
                </c:pt>
                <c:pt idx="469">
                  <c:v>0.32569444444444345</c:v>
                </c:pt>
                <c:pt idx="470">
                  <c:v>0.3263888888888879</c:v>
                </c:pt>
                <c:pt idx="471">
                  <c:v>0.32708333333333234</c:v>
                </c:pt>
                <c:pt idx="472">
                  <c:v>0.32777777777777678</c:v>
                </c:pt>
                <c:pt idx="473">
                  <c:v>0.32847222222222122</c:v>
                </c:pt>
                <c:pt idx="474">
                  <c:v>0.32916666666666566</c:v>
                </c:pt>
                <c:pt idx="475">
                  <c:v>0.32986111111111011</c:v>
                </c:pt>
                <c:pt idx="476">
                  <c:v>0.33055555555555455</c:v>
                </c:pt>
                <c:pt idx="477">
                  <c:v>0.33124999999999899</c:v>
                </c:pt>
                <c:pt idx="478">
                  <c:v>0.33194444444444343</c:v>
                </c:pt>
                <c:pt idx="479">
                  <c:v>0.33263888888888787</c:v>
                </c:pt>
                <c:pt idx="480">
                  <c:v>0.33333333333333232</c:v>
                </c:pt>
                <c:pt idx="481">
                  <c:v>0.33402777777777676</c:v>
                </c:pt>
                <c:pt idx="482">
                  <c:v>0.3347222222222212</c:v>
                </c:pt>
                <c:pt idx="483">
                  <c:v>0.33541666666666564</c:v>
                </c:pt>
                <c:pt idx="484">
                  <c:v>0.33611111111111008</c:v>
                </c:pt>
                <c:pt idx="485">
                  <c:v>0.33680555555555453</c:v>
                </c:pt>
                <c:pt idx="486">
                  <c:v>0.33749999999999897</c:v>
                </c:pt>
                <c:pt idx="487">
                  <c:v>0.33819444444444341</c:v>
                </c:pt>
                <c:pt idx="488">
                  <c:v>0.33888888888888785</c:v>
                </c:pt>
                <c:pt idx="489">
                  <c:v>0.33958333333333229</c:v>
                </c:pt>
                <c:pt idx="490">
                  <c:v>0.34027777777777674</c:v>
                </c:pt>
                <c:pt idx="491">
                  <c:v>0.34097222222222118</c:v>
                </c:pt>
                <c:pt idx="492">
                  <c:v>0.34166666666666562</c:v>
                </c:pt>
                <c:pt idx="493">
                  <c:v>0.34236111111111006</c:v>
                </c:pt>
                <c:pt idx="494">
                  <c:v>0.3430555555555545</c:v>
                </c:pt>
                <c:pt idx="495">
                  <c:v>0.34374999999999895</c:v>
                </c:pt>
                <c:pt idx="496">
                  <c:v>0.34444444444444339</c:v>
                </c:pt>
                <c:pt idx="497">
                  <c:v>0.34513888888888783</c:v>
                </c:pt>
                <c:pt idx="498">
                  <c:v>0.34583333333333227</c:v>
                </c:pt>
                <c:pt idx="499">
                  <c:v>0.34652777777777671</c:v>
                </c:pt>
                <c:pt idx="500">
                  <c:v>0.34722222222222116</c:v>
                </c:pt>
                <c:pt idx="501">
                  <c:v>0.3479166666666656</c:v>
                </c:pt>
                <c:pt idx="502">
                  <c:v>0.34861111111111004</c:v>
                </c:pt>
                <c:pt idx="503">
                  <c:v>0.34930555555555448</c:v>
                </c:pt>
                <c:pt idx="504">
                  <c:v>0.34999999999999892</c:v>
                </c:pt>
                <c:pt idx="505">
                  <c:v>0.35069444444444337</c:v>
                </c:pt>
                <c:pt idx="506">
                  <c:v>0.35138888888888781</c:v>
                </c:pt>
                <c:pt idx="507">
                  <c:v>0.35208333333333225</c:v>
                </c:pt>
                <c:pt idx="508">
                  <c:v>0.35277777777777669</c:v>
                </c:pt>
                <c:pt idx="509">
                  <c:v>0.35347222222222113</c:v>
                </c:pt>
                <c:pt idx="510">
                  <c:v>0.35416666666666557</c:v>
                </c:pt>
                <c:pt idx="511">
                  <c:v>0.35486111111111002</c:v>
                </c:pt>
                <c:pt idx="512">
                  <c:v>0.35555555555555446</c:v>
                </c:pt>
                <c:pt idx="513">
                  <c:v>0.3562499999999989</c:v>
                </c:pt>
                <c:pt idx="514">
                  <c:v>0.35694444444444334</c:v>
                </c:pt>
                <c:pt idx="515">
                  <c:v>0.35763888888888778</c:v>
                </c:pt>
                <c:pt idx="516">
                  <c:v>0.35833333333333223</c:v>
                </c:pt>
                <c:pt idx="517">
                  <c:v>0.35902777777777667</c:v>
                </c:pt>
                <c:pt idx="518">
                  <c:v>0.35972222222222111</c:v>
                </c:pt>
                <c:pt idx="519">
                  <c:v>0.36041666666666555</c:v>
                </c:pt>
                <c:pt idx="520">
                  <c:v>0.36111111111110999</c:v>
                </c:pt>
                <c:pt idx="521">
                  <c:v>0.36180555555555444</c:v>
                </c:pt>
                <c:pt idx="522">
                  <c:v>0.36249999999999888</c:v>
                </c:pt>
                <c:pt idx="523">
                  <c:v>0.36319444444444332</c:v>
                </c:pt>
                <c:pt idx="524">
                  <c:v>0.36388888888888776</c:v>
                </c:pt>
                <c:pt idx="525">
                  <c:v>0.3645833333333322</c:v>
                </c:pt>
                <c:pt idx="526">
                  <c:v>0.36527777777777665</c:v>
                </c:pt>
                <c:pt idx="527">
                  <c:v>0.36597222222222109</c:v>
                </c:pt>
                <c:pt idx="528">
                  <c:v>0.36666666666666553</c:v>
                </c:pt>
                <c:pt idx="529">
                  <c:v>0.36736111111110997</c:v>
                </c:pt>
                <c:pt idx="530">
                  <c:v>0.36805555555555441</c:v>
                </c:pt>
                <c:pt idx="531">
                  <c:v>0.36874999999999886</c:v>
                </c:pt>
                <c:pt idx="532">
                  <c:v>0.3694444444444433</c:v>
                </c:pt>
                <c:pt idx="533">
                  <c:v>0.37013888888888774</c:v>
                </c:pt>
                <c:pt idx="534">
                  <c:v>0.37083333333333218</c:v>
                </c:pt>
                <c:pt idx="535">
                  <c:v>0.37152777777777662</c:v>
                </c:pt>
                <c:pt idx="536">
                  <c:v>0.37222222222222107</c:v>
                </c:pt>
                <c:pt idx="537">
                  <c:v>0.37291666666666551</c:v>
                </c:pt>
                <c:pt idx="538">
                  <c:v>0.37361111111110995</c:v>
                </c:pt>
                <c:pt idx="539">
                  <c:v>0.37430555555555439</c:v>
                </c:pt>
                <c:pt idx="540">
                  <c:v>0.37499999999999883</c:v>
                </c:pt>
                <c:pt idx="541">
                  <c:v>0.37569444444444328</c:v>
                </c:pt>
                <c:pt idx="542">
                  <c:v>0.37638888888888772</c:v>
                </c:pt>
                <c:pt idx="543">
                  <c:v>0.37708333333333216</c:v>
                </c:pt>
                <c:pt idx="544">
                  <c:v>0.3777777777777766</c:v>
                </c:pt>
                <c:pt idx="545">
                  <c:v>0.37847222222222104</c:v>
                </c:pt>
                <c:pt idx="546">
                  <c:v>0.37916666666666549</c:v>
                </c:pt>
                <c:pt idx="547">
                  <c:v>0.37986111111110993</c:v>
                </c:pt>
                <c:pt idx="548">
                  <c:v>0.38055555555555437</c:v>
                </c:pt>
                <c:pt idx="549">
                  <c:v>0.38124999999999881</c:v>
                </c:pt>
                <c:pt idx="550">
                  <c:v>0.38194444444444325</c:v>
                </c:pt>
                <c:pt idx="551">
                  <c:v>0.3826388888888877</c:v>
                </c:pt>
                <c:pt idx="552">
                  <c:v>0.38333333333333214</c:v>
                </c:pt>
                <c:pt idx="553">
                  <c:v>0.38402777777777658</c:v>
                </c:pt>
                <c:pt idx="554">
                  <c:v>0.38472222222222102</c:v>
                </c:pt>
                <c:pt idx="555">
                  <c:v>0.38541666666666546</c:v>
                </c:pt>
                <c:pt idx="556">
                  <c:v>0.38611111111110991</c:v>
                </c:pt>
                <c:pt idx="557">
                  <c:v>0.38680555555555435</c:v>
                </c:pt>
                <c:pt idx="558">
                  <c:v>0.38749999999999879</c:v>
                </c:pt>
                <c:pt idx="559">
                  <c:v>0.38819444444444323</c:v>
                </c:pt>
                <c:pt idx="560">
                  <c:v>0.38888888888888767</c:v>
                </c:pt>
                <c:pt idx="561">
                  <c:v>0.38958333333333212</c:v>
                </c:pt>
                <c:pt idx="562">
                  <c:v>0.39027777777777656</c:v>
                </c:pt>
                <c:pt idx="563">
                  <c:v>0.390972222222221</c:v>
                </c:pt>
                <c:pt idx="564">
                  <c:v>0.39166666666666544</c:v>
                </c:pt>
                <c:pt idx="565">
                  <c:v>0.39236111111110988</c:v>
                </c:pt>
                <c:pt idx="566">
                  <c:v>0.39305555555555433</c:v>
                </c:pt>
                <c:pt idx="567">
                  <c:v>0.39374999999999877</c:v>
                </c:pt>
                <c:pt idx="568">
                  <c:v>0.39444444444444321</c:v>
                </c:pt>
                <c:pt idx="569">
                  <c:v>0.39513888888888765</c:v>
                </c:pt>
                <c:pt idx="570">
                  <c:v>0.39583333333333209</c:v>
                </c:pt>
                <c:pt idx="571">
                  <c:v>0.39652777777777654</c:v>
                </c:pt>
                <c:pt idx="572">
                  <c:v>0.39722222222222098</c:v>
                </c:pt>
                <c:pt idx="573">
                  <c:v>0.39791666666666542</c:v>
                </c:pt>
                <c:pt idx="574">
                  <c:v>0.39861111111110986</c:v>
                </c:pt>
                <c:pt idx="575">
                  <c:v>0.3993055555555543</c:v>
                </c:pt>
                <c:pt idx="576">
                  <c:v>0.39999999999999875</c:v>
                </c:pt>
                <c:pt idx="577">
                  <c:v>0.40069444444444319</c:v>
                </c:pt>
                <c:pt idx="578">
                  <c:v>0.40138888888888763</c:v>
                </c:pt>
                <c:pt idx="579">
                  <c:v>0.40208333333333207</c:v>
                </c:pt>
                <c:pt idx="580">
                  <c:v>0.40277777777777651</c:v>
                </c:pt>
                <c:pt idx="581">
                  <c:v>0.40347222222222096</c:v>
                </c:pt>
                <c:pt idx="582">
                  <c:v>0.4041666666666654</c:v>
                </c:pt>
                <c:pt idx="583">
                  <c:v>0.40486111111110984</c:v>
                </c:pt>
                <c:pt idx="584">
                  <c:v>0.40555555555555428</c:v>
                </c:pt>
                <c:pt idx="585">
                  <c:v>0.40624999999999872</c:v>
                </c:pt>
                <c:pt idx="586">
                  <c:v>0.40694444444444317</c:v>
                </c:pt>
                <c:pt idx="587">
                  <c:v>0.40763888888888761</c:v>
                </c:pt>
                <c:pt idx="588">
                  <c:v>0.40833333333333205</c:v>
                </c:pt>
                <c:pt idx="589">
                  <c:v>0.40902777777777649</c:v>
                </c:pt>
                <c:pt idx="590">
                  <c:v>0.40972222222222093</c:v>
                </c:pt>
                <c:pt idx="591">
                  <c:v>0.41041666666666538</c:v>
                </c:pt>
                <c:pt idx="592">
                  <c:v>0.41111111111110982</c:v>
                </c:pt>
                <c:pt idx="593">
                  <c:v>0.41180555555555426</c:v>
                </c:pt>
                <c:pt idx="594">
                  <c:v>0.4124999999999987</c:v>
                </c:pt>
                <c:pt idx="595">
                  <c:v>0.41319444444444314</c:v>
                </c:pt>
                <c:pt idx="596">
                  <c:v>0.41388888888888758</c:v>
                </c:pt>
                <c:pt idx="597">
                  <c:v>0.41458333333333203</c:v>
                </c:pt>
                <c:pt idx="598">
                  <c:v>0.41527777777777647</c:v>
                </c:pt>
                <c:pt idx="599">
                  <c:v>0.41597222222222091</c:v>
                </c:pt>
                <c:pt idx="600">
                  <c:v>0.41666666666666535</c:v>
                </c:pt>
                <c:pt idx="601">
                  <c:v>0.41736111111110979</c:v>
                </c:pt>
                <c:pt idx="602">
                  <c:v>0.41805555555555424</c:v>
                </c:pt>
                <c:pt idx="603">
                  <c:v>0.41874999999999868</c:v>
                </c:pt>
                <c:pt idx="604">
                  <c:v>0.41944444444444312</c:v>
                </c:pt>
                <c:pt idx="605">
                  <c:v>0.42013888888888756</c:v>
                </c:pt>
                <c:pt idx="606">
                  <c:v>0.420833333333332</c:v>
                </c:pt>
                <c:pt idx="607">
                  <c:v>0.42152777777777645</c:v>
                </c:pt>
                <c:pt idx="608">
                  <c:v>0.42222222222222089</c:v>
                </c:pt>
                <c:pt idx="609">
                  <c:v>0.42291666666666533</c:v>
                </c:pt>
                <c:pt idx="610">
                  <c:v>0.42361111111110977</c:v>
                </c:pt>
                <c:pt idx="611">
                  <c:v>0.42430555555555421</c:v>
                </c:pt>
                <c:pt idx="612">
                  <c:v>0.42499999999999866</c:v>
                </c:pt>
                <c:pt idx="613">
                  <c:v>0.4256944444444431</c:v>
                </c:pt>
                <c:pt idx="614">
                  <c:v>0.42638888888888754</c:v>
                </c:pt>
                <c:pt idx="615">
                  <c:v>0.42708333333333198</c:v>
                </c:pt>
                <c:pt idx="616">
                  <c:v>0.42777777777777642</c:v>
                </c:pt>
                <c:pt idx="617">
                  <c:v>0.42847222222222087</c:v>
                </c:pt>
                <c:pt idx="618">
                  <c:v>0.42916666666666531</c:v>
                </c:pt>
                <c:pt idx="619">
                  <c:v>0.42986111111110975</c:v>
                </c:pt>
                <c:pt idx="620">
                  <c:v>0.43055555555555419</c:v>
                </c:pt>
                <c:pt idx="621">
                  <c:v>0.43124999999999863</c:v>
                </c:pt>
                <c:pt idx="622">
                  <c:v>0.43194444444444308</c:v>
                </c:pt>
                <c:pt idx="623">
                  <c:v>0.43263888888888752</c:v>
                </c:pt>
                <c:pt idx="624">
                  <c:v>0.43333333333333196</c:v>
                </c:pt>
                <c:pt idx="625">
                  <c:v>0.4340277777777764</c:v>
                </c:pt>
                <c:pt idx="626">
                  <c:v>0.43472222222222084</c:v>
                </c:pt>
                <c:pt idx="627">
                  <c:v>0.43541666666666529</c:v>
                </c:pt>
                <c:pt idx="628">
                  <c:v>0.43611111111110973</c:v>
                </c:pt>
                <c:pt idx="629">
                  <c:v>0.43680555555555417</c:v>
                </c:pt>
                <c:pt idx="630">
                  <c:v>0.43749999999999861</c:v>
                </c:pt>
                <c:pt idx="631">
                  <c:v>0.43819444444444305</c:v>
                </c:pt>
                <c:pt idx="632">
                  <c:v>0.4388888888888875</c:v>
                </c:pt>
                <c:pt idx="633">
                  <c:v>0.43958333333333194</c:v>
                </c:pt>
                <c:pt idx="634">
                  <c:v>0.44027777777777638</c:v>
                </c:pt>
                <c:pt idx="635">
                  <c:v>0.44097222222222082</c:v>
                </c:pt>
                <c:pt idx="636">
                  <c:v>0.44166666666666526</c:v>
                </c:pt>
                <c:pt idx="637">
                  <c:v>0.44236111111110971</c:v>
                </c:pt>
                <c:pt idx="638">
                  <c:v>0.44305555555555415</c:v>
                </c:pt>
                <c:pt idx="639">
                  <c:v>0.44374999999999859</c:v>
                </c:pt>
                <c:pt idx="640">
                  <c:v>0.44444444444444303</c:v>
                </c:pt>
                <c:pt idx="641">
                  <c:v>0.44513888888888747</c:v>
                </c:pt>
                <c:pt idx="642">
                  <c:v>0.44583333333333192</c:v>
                </c:pt>
                <c:pt idx="643">
                  <c:v>0.44652777777777636</c:v>
                </c:pt>
                <c:pt idx="644">
                  <c:v>0.4472222222222208</c:v>
                </c:pt>
                <c:pt idx="645">
                  <c:v>0.44791666666666524</c:v>
                </c:pt>
                <c:pt idx="646">
                  <c:v>0.44861111111110968</c:v>
                </c:pt>
                <c:pt idx="647">
                  <c:v>0.44930555555555413</c:v>
                </c:pt>
                <c:pt idx="648">
                  <c:v>0.44999999999999857</c:v>
                </c:pt>
                <c:pt idx="649">
                  <c:v>0.45069444444444301</c:v>
                </c:pt>
                <c:pt idx="650">
                  <c:v>0.45138888888888745</c:v>
                </c:pt>
                <c:pt idx="651">
                  <c:v>0.45208333333333189</c:v>
                </c:pt>
                <c:pt idx="652">
                  <c:v>0.45277777777777634</c:v>
                </c:pt>
                <c:pt idx="653">
                  <c:v>0.45347222222222078</c:v>
                </c:pt>
                <c:pt idx="654">
                  <c:v>0.45416666666666522</c:v>
                </c:pt>
                <c:pt idx="655">
                  <c:v>0.45486111111110966</c:v>
                </c:pt>
                <c:pt idx="656">
                  <c:v>0.4555555555555541</c:v>
                </c:pt>
                <c:pt idx="657">
                  <c:v>0.45624999999999855</c:v>
                </c:pt>
                <c:pt idx="658">
                  <c:v>0.45694444444444299</c:v>
                </c:pt>
                <c:pt idx="659">
                  <c:v>0.45763888888888743</c:v>
                </c:pt>
                <c:pt idx="660">
                  <c:v>0.45833333333333187</c:v>
                </c:pt>
                <c:pt idx="661">
                  <c:v>0.45902777777777631</c:v>
                </c:pt>
                <c:pt idx="662">
                  <c:v>0.45972222222222076</c:v>
                </c:pt>
                <c:pt idx="663">
                  <c:v>0.4604166666666652</c:v>
                </c:pt>
                <c:pt idx="664">
                  <c:v>0.46111111111110964</c:v>
                </c:pt>
                <c:pt idx="665">
                  <c:v>0.46180555555555408</c:v>
                </c:pt>
                <c:pt idx="666">
                  <c:v>0.46249999999999852</c:v>
                </c:pt>
                <c:pt idx="667">
                  <c:v>0.46319444444444297</c:v>
                </c:pt>
                <c:pt idx="668">
                  <c:v>0.46388888888888741</c:v>
                </c:pt>
                <c:pt idx="669">
                  <c:v>0.46458333333333185</c:v>
                </c:pt>
                <c:pt idx="670">
                  <c:v>0.46527777777777629</c:v>
                </c:pt>
                <c:pt idx="671">
                  <c:v>0.46597222222222073</c:v>
                </c:pt>
                <c:pt idx="672">
                  <c:v>0.46666666666666518</c:v>
                </c:pt>
                <c:pt idx="673">
                  <c:v>0.46736111111110962</c:v>
                </c:pt>
                <c:pt idx="674">
                  <c:v>0.46805555555555406</c:v>
                </c:pt>
                <c:pt idx="675">
                  <c:v>0.4687499999999985</c:v>
                </c:pt>
                <c:pt idx="676">
                  <c:v>0.46944444444444294</c:v>
                </c:pt>
                <c:pt idx="677">
                  <c:v>0.47013888888888739</c:v>
                </c:pt>
                <c:pt idx="678">
                  <c:v>0.47083333333333183</c:v>
                </c:pt>
                <c:pt idx="679">
                  <c:v>0.47152777777777627</c:v>
                </c:pt>
                <c:pt idx="680">
                  <c:v>0.47222222222222071</c:v>
                </c:pt>
                <c:pt idx="681">
                  <c:v>0.47291666666666515</c:v>
                </c:pt>
                <c:pt idx="682">
                  <c:v>0.4736111111111096</c:v>
                </c:pt>
                <c:pt idx="683">
                  <c:v>0.47430555555555404</c:v>
                </c:pt>
                <c:pt idx="684">
                  <c:v>0.47499999999999848</c:v>
                </c:pt>
                <c:pt idx="685">
                  <c:v>0.47569444444444292</c:v>
                </c:pt>
                <c:pt idx="686">
                  <c:v>0.47638888888888736</c:v>
                </c:pt>
                <c:pt idx="687">
                  <c:v>0.4770833333333318</c:v>
                </c:pt>
                <c:pt idx="688">
                  <c:v>0.47777777777777625</c:v>
                </c:pt>
                <c:pt idx="689">
                  <c:v>0.47847222222222069</c:v>
                </c:pt>
                <c:pt idx="690">
                  <c:v>0.47916666666666513</c:v>
                </c:pt>
                <c:pt idx="691">
                  <c:v>0.47986111111110957</c:v>
                </c:pt>
                <c:pt idx="692">
                  <c:v>0.48055555555555401</c:v>
                </c:pt>
                <c:pt idx="693">
                  <c:v>0.48124999999999846</c:v>
                </c:pt>
                <c:pt idx="694">
                  <c:v>0.4819444444444429</c:v>
                </c:pt>
                <c:pt idx="695">
                  <c:v>0.48263888888888734</c:v>
                </c:pt>
                <c:pt idx="696">
                  <c:v>0.48333333333333178</c:v>
                </c:pt>
                <c:pt idx="697">
                  <c:v>0.48402777777777622</c:v>
                </c:pt>
                <c:pt idx="698">
                  <c:v>0.48472222222222067</c:v>
                </c:pt>
                <c:pt idx="699">
                  <c:v>0.48541666666666511</c:v>
                </c:pt>
                <c:pt idx="700">
                  <c:v>0.48611111111110955</c:v>
                </c:pt>
                <c:pt idx="701">
                  <c:v>0.48680555555555399</c:v>
                </c:pt>
                <c:pt idx="702">
                  <c:v>0.48749999999999843</c:v>
                </c:pt>
                <c:pt idx="703">
                  <c:v>0.48819444444444288</c:v>
                </c:pt>
                <c:pt idx="704">
                  <c:v>0.48888888888888732</c:v>
                </c:pt>
                <c:pt idx="705">
                  <c:v>0.48958333333333176</c:v>
                </c:pt>
                <c:pt idx="706">
                  <c:v>0.4902777777777762</c:v>
                </c:pt>
                <c:pt idx="707">
                  <c:v>0.49097222222222064</c:v>
                </c:pt>
                <c:pt idx="708">
                  <c:v>0.49166666666666509</c:v>
                </c:pt>
                <c:pt idx="709">
                  <c:v>0.49236111111110953</c:v>
                </c:pt>
                <c:pt idx="710">
                  <c:v>0.49305555555555397</c:v>
                </c:pt>
                <c:pt idx="711">
                  <c:v>0.49374999999999841</c:v>
                </c:pt>
                <c:pt idx="712">
                  <c:v>0.49444444444444285</c:v>
                </c:pt>
                <c:pt idx="713">
                  <c:v>0.4951388888888873</c:v>
                </c:pt>
                <c:pt idx="714">
                  <c:v>0.49583333333333174</c:v>
                </c:pt>
                <c:pt idx="715">
                  <c:v>0.49652777777777618</c:v>
                </c:pt>
                <c:pt idx="716">
                  <c:v>0.49722222222222062</c:v>
                </c:pt>
                <c:pt idx="717">
                  <c:v>0.49791666666666506</c:v>
                </c:pt>
                <c:pt idx="718">
                  <c:v>0.49861111111110951</c:v>
                </c:pt>
                <c:pt idx="719">
                  <c:v>0.49930555555555395</c:v>
                </c:pt>
                <c:pt idx="720">
                  <c:v>0.49999999999999839</c:v>
                </c:pt>
                <c:pt idx="721">
                  <c:v>0.50069444444444289</c:v>
                </c:pt>
                <c:pt idx="722">
                  <c:v>0.50138888888888733</c:v>
                </c:pt>
                <c:pt idx="723">
                  <c:v>0.50208333333333177</c:v>
                </c:pt>
                <c:pt idx="724">
                  <c:v>0.50277777777777621</c:v>
                </c:pt>
                <c:pt idx="725">
                  <c:v>0.50347222222222066</c:v>
                </c:pt>
                <c:pt idx="726">
                  <c:v>0.5041666666666651</c:v>
                </c:pt>
                <c:pt idx="727">
                  <c:v>0.50486111111110954</c:v>
                </c:pt>
                <c:pt idx="728">
                  <c:v>0.50555555555555398</c:v>
                </c:pt>
                <c:pt idx="729">
                  <c:v>0.50624999999999842</c:v>
                </c:pt>
                <c:pt idx="730">
                  <c:v>0.50694444444444287</c:v>
                </c:pt>
                <c:pt idx="731">
                  <c:v>0.50763888888888731</c:v>
                </c:pt>
                <c:pt idx="732">
                  <c:v>0.50833333333333175</c:v>
                </c:pt>
                <c:pt idx="733">
                  <c:v>0.50902777777777619</c:v>
                </c:pt>
                <c:pt idx="734">
                  <c:v>0.50972222222222063</c:v>
                </c:pt>
                <c:pt idx="735">
                  <c:v>0.51041666666666508</c:v>
                </c:pt>
                <c:pt idx="736">
                  <c:v>0.51111111111110952</c:v>
                </c:pt>
                <c:pt idx="737">
                  <c:v>0.51180555555555396</c:v>
                </c:pt>
                <c:pt idx="738">
                  <c:v>0.5124999999999984</c:v>
                </c:pt>
                <c:pt idx="739">
                  <c:v>0.51319444444444284</c:v>
                </c:pt>
                <c:pt idx="740">
                  <c:v>0.51388888888888729</c:v>
                </c:pt>
                <c:pt idx="741">
                  <c:v>0.51458333333333173</c:v>
                </c:pt>
                <c:pt idx="742">
                  <c:v>0.51527777777777617</c:v>
                </c:pt>
                <c:pt idx="743">
                  <c:v>0.51597222222222061</c:v>
                </c:pt>
                <c:pt idx="744">
                  <c:v>0.51666666666666505</c:v>
                </c:pt>
                <c:pt idx="745">
                  <c:v>0.5173611111111095</c:v>
                </c:pt>
                <c:pt idx="746">
                  <c:v>0.51805555555555394</c:v>
                </c:pt>
                <c:pt idx="747">
                  <c:v>0.51874999999999838</c:v>
                </c:pt>
                <c:pt idx="748">
                  <c:v>0.51944444444444282</c:v>
                </c:pt>
                <c:pt idx="749">
                  <c:v>0.52013888888888726</c:v>
                </c:pt>
                <c:pt idx="750">
                  <c:v>0.52083333333333171</c:v>
                </c:pt>
                <c:pt idx="751">
                  <c:v>0.52152777777777615</c:v>
                </c:pt>
                <c:pt idx="752">
                  <c:v>0.52222222222222059</c:v>
                </c:pt>
                <c:pt idx="753">
                  <c:v>0.52291666666666503</c:v>
                </c:pt>
                <c:pt idx="754">
                  <c:v>0.52361111111110947</c:v>
                </c:pt>
                <c:pt idx="755">
                  <c:v>0.52430555555555391</c:v>
                </c:pt>
                <c:pt idx="756">
                  <c:v>0.52499999999999836</c:v>
                </c:pt>
                <c:pt idx="757">
                  <c:v>0.5256944444444428</c:v>
                </c:pt>
                <c:pt idx="758">
                  <c:v>0.52638888888888724</c:v>
                </c:pt>
                <c:pt idx="759">
                  <c:v>0.52708333333333168</c:v>
                </c:pt>
                <c:pt idx="760">
                  <c:v>0.52777777777777612</c:v>
                </c:pt>
                <c:pt idx="761">
                  <c:v>0.52847222222222057</c:v>
                </c:pt>
                <c:pt idx="762">
                  <c:v>0.52916666666666501</c:v>
                </c:pt>
                <c:pt idx="763">
                  <c:v>0.52986111111110945</c:v>
                </c:pt>
                <c:pt idx="764">
                  <c:v>0.53055555555555389</c:v>
                </c:pt>
                <c:pt idx="765">
                  <c:v>0.53124999999999833</c:v>
                </c:pt>
                <c:pt idx="766">
                  <c:v>0.53194444444444278</c:v>
                </c:pt>
                <c:pt idx="767">
                  <c:v>0.53263888888888722</c:v>
                </c:pt>
                <c:pt idx="768">
                  <c:v>0.53333333333333166</c:v>
                </c:pt>
                <c:pt idx="769">
                  <c:v>0.5340277777777761</c:v>
                </c:pt>
                <c:pt idx="770">
                  <c:v>0.53472222222222054</c:v>
                </c:pt>
                <c:pt idx="771">
                  <c:v>0.53541666666666499</c:v>
                </c:pt>
                <c:pt idx="772">
                  <c:v>0.53611111111110943</c:v>
                </c:pt>
                <c:pt idx="773">
                  <c:v>0.53680555555555387</c:v>
                </c:pt>
                <c:pt idx="774">
                  <c:v>0.53749999999999831</c:v>
                </c:pt>
                <c:pt idx="775">
                  <c:v>0.53819444444444275</c:v>
                </c:pt>
                <c:pt idx="776">
                  <c:v>0.5388888888888872</c:v>
                </c:pt>
                <c:pt idx="777">
                  <c:v>0.53958333333333164</c:v>
                </c:pt>
                <c:pt idx="778">
                  <c:v>0.54027777777777608</c:v>
                </c:pt>
                <c:pt idx="779">
                  <c:v>0.54097222222222052</c:v>
                </c:pt>
                <c:pt idx="780">
                  <c:v>0.54166666666666496</c:v>
                </c:pt>
                <c:pt idx="781">
                  <c:v>0.54236111111110941</c:v>
                </c:pt>
                <c:pt idx="782">
                  <c:v>0.54305555555555385</c:v>
                </c:pt>
                <c:pt idx="783">
                  <c:v>0.54374999999999829</c:v>
                </c:pt>
                <c:pt idx="784">
                  <c:v>0.54444444444444273</c:v>
                </c:pt>
                <c:pt idx="785">
                  <c:v>0.54513888888888717</c:v>
                </c:pt>
                <c:pt idx="786">
                  <c:v>0.54583333333333162</c:v>
                </c:pt>
                <c:pt idx="787">
                  <c:v>0.54652777777777606</c:v>
                </c:pt>
                <c:pt idx="788">
                  <c:v>0.5472222222222205</c:v>
                </c:pt>
                <c:pt idx="789">
                  <c:v>0.54791666666666494</c:v>
                </c:pt>
                <c:pt idx="790">
                  <c:v>0.54861111111110938</c:v>
                </c:pt>
                <c:pt idx="791">
                  <c:v>0.54930555555555383</c:v>
                </c:pt>
                <c:pt idx="792">
                  <c:v>0.54999999999999827</c:v>
                </c:pt>
                <c:pt idx="793">
                  <c:v>0.55069444444444271</c:v>
                </c:pt>
                <c:pt idx="794">
                  <c:v>0.55138888888888715</c:v>
                </c:pt>
                <c:pt idx="795">
                  <c:v>0.55208333333333159</c:v>
                </c:pt>
                <c:pt idx="796">
                  <c:v>0.55277777777777604</c:v>
                </c:pt>
                <c:pt idx="797">
                  <c:v>0.55347222222222048</c:v>
                </c:pt>
                <c:pt idx="798">
                  <c:v>0.55416666666666492</c:v>
                </c:pt>
                <c:pt idx="799">
                  <c:v>0.55486111111110936</c:v>
                </c:pt>
                <c:pt idx="800">
                  <c:v>0.5555555555555538</c:v>
                </c:pt>
                <c:pt idx="801">
                  <c:v>0.55624999999999825</c:v>
                </c:pt>
                <c:pt idx="802">
                  <c:v>0.55694444444444269</c:v>
                </c:pt>
                <c:pt idx="803">
                  <c:v>0.55763888888888713</c:v>
                </c:pt>
                <c:pt idx="804">
                  <c:v>0.55833333333333157</c:v>
                </c:pt>
                <c:pt idx="805">
                  <c:v>0.55902777777777601</c:v>
                </c:pt>
                <c:pt idx="806">
                  <c:v>0.55972222222222046</c:v>
                </c:pt>
                <c:pt idx="807">
                  <c:v>0.5604166666666649</c:v>
                </c:pt>
                <c:pt idx="808">
                  <c:v>0.56111111111110934</c:v>
                </c:pt>
                <c:pt idx="809">
                  <c:v>0.56180555555555378</c:v>
                </c:pt>
                <c:pt idx="810">
                  <c:v>0.56249999999999822</c:v>
                </c:pt>
                <c:pt idx="811">
                  <c:v>0.56319444444444267</c:v>
                </c:pt>
                <c:pt idx="812">
                  <c:v>0.56388888888888711</c:v>
                </c:pt>
                <c:pt idx="813">
                  <c:v>0.56458333333333155</c:v>
                </c:pt>
                <c:pt idx="814">
                  <c:v>0.56527777777777599</c:v>
                </c:pt>
                <c:pt idx="815">
                  <c:v>0.56597222222222043</c:v>
                </c:pt>
                <c:pt idx="816">
                  <c:v>0.56666666666666488</c:v>
                </c:pt>
                <c:pt idx="817">
                  <c:v>0.56736111111110932</c:v>
                </c:pt>
                <c:pt idx="818">
                  <c:v>0.56805555555555376</c:v>
                </c:pt>
                <c:pt idx="819">
                  <c:v>0.5687499999999982</c:v>
                </c:pt>
                <c:pt idx="820">
                  <c:v>0.56944444444444264</c:v>
                </c:pt>
                <c:pt idx="821">
                  <c:v>0.57013888888888709</c:v>
                </c:pt>
                <c:pt idx="822">
                  <c:v>0.57083333333333153</c:v>
                </c:pt>
                <c:pt idx="823">
                  <c:v>0.57152777777777597</c:v>
                </c:pt>
                <c:pt idx="824">
                  <c:v>0.57222222222222041</c:v>
                </c:pt>
                <c:pt idx="825">
                  <c:v>0.57291666666666485</c:v>
                </c:pt>
                <c:pt idx="826">
                  <c:v>0.5736111111111093</c:v>
                </c:pt>
                <c:pt idx="827">
                  <c:v>0.57430555555555374</c:v>
                </c:pt>
                <c:pt idx="828">
                  <c:v>0.57499999999999818</c:v>
                </c:pt>
                <c:pt idx="829">
                  <c:v>0.57569444444444262</c:v>
                </c:pt>
                <c:pt idx="830">
                  <c:v>0.57638888888888706</c:v>
                </c:pt>
                <c:pt idx="831">
                  <c:v>0.57708333333333151</c:v>
                </c:pt>
                <c:pt idx="832">
                  <c:v>0.57777777777777595</c:v>
                </c:pt>
                <c:pt idx="833">
                  <c:v>0.57847222222222039</c:v>
                </c:pt>
                <c:pt idx="834">
                  <c:v>0.57916666666666483</c:v>
                </c:pt>
                <c:pt idx="835">
                  <c:v>0.57986111111110927</c:v>
                </c:pt>
                <c:pt idx="836">
                  <c:v>0.58055555555555372</c:v>
                </c:pt>
                <c:pt idx="837">
                  <c:v>0.58124999999999816</c:v>
                </c:pt>
                <c:pt idx="838">
                  <c:v>0.5819444444444426</c:v>
                </c:pt>
                <c:pt idx="839">
                  <c:v>0.58263888888888704</c:v>
                </c:pt>
                <c:pt idx="840">
                  <c:v>0.58333333333333148</c:v>
                </c:pt>
                <c:pt idx="841">
                  <c:v>0.58402777777777592</c:v>
                </c:pt>
                <c:pt idx="842">
                  <c:v>0.58472222222222037</c:v>
                </c:pt>
                <c:pt idx="843">
                  <c:v>0.58541666666666481</c:v>
                </c:pt>
                <c:pt idx="844">
                  <c:v>0.58611111111110925</c:v>
                </c:pt>
                <c:pt idx="845">
                  <c:v>0.58680555555555369</c:v>
                </c:pt>
                <c:pt idx="846">
                  <c:v>0.58749999999999813</c:v>
                </c:pt>
                <c:pt idx="847">
                  <c:v>0.58819444444444258</c:v>
                </c:pt>
                <c:pt idx="848">
                  <c:v>0.58888888888888702</c:v>
                </c:pt>
                <c:pt idx="849">
                  <c:v>0.58958333333333146</c:v>
                </c:pt>
                <c:pt idx="850">
                  <c:v>0.5902777777777759</c:v>
                </c:pt>
                <c:pt idx="851">
                  <c:v>0.59097222222222034</c:v>
                </c:pt>
                <c:pt idx="852">
                  <c:v>0.59166666666666479</c:v>
                </c:pt>
                <c:pt idx="853">
                  <c:v>0.59236111111110923</c:v>
                </c:pt>
                <c:pt idx="854">
                  <c:v>0.59305555555555367</c:v>
                </c:pt>
                <c:pt idx="855">
                  <c:v>0.59374999999999811</c:v>
                </c:pt>
                <c:pt idx="856">
                  <c:v>0.59444444444444255</c:v>
                </c:pt>
                <c:pt idx="857">
                  <c:v>0.595138888888887</c:v>
                </c:pt>
                <c:pt idx="858">
                  <c:v>0.59583333333333144</c:v>
                </c:pt>
                <c:pt idx="859">
                  <c:v>0.59652777777777588</c:v>
                </c:pt>
                <c:pt idx="860">
                  <c:v>0.59722222222222032</c:v>
                </c:pt>
                <c:pt idx="861">
                  <c:v>0.59791666666666476</c:v>
                </c:pt>
                <c:pt idx="862">
                  <c:v>0.59861111111110921</c:v>
                </c:pt>
                <c:pt idx="863">
                  <c:v>0.59930555555555365</c:v>
                </c:pt>
                <c:pt idx="864">
                  <c:v>0.59999999999999809</c:v>
                </c:pt>
                <c:pt idx="865">
                  <c:v>0.60069444444444253</c:v>
                </c:pt>
                <c:pt idx="866">
                  <c:v>0.60138888888888697</c:v>
                </c:pt>
                <c:pt idx="867">
                  <c:v>0.60208333333333142</c:v>
                </c:pt>
                <c:pt idx="868">
                  <c:v>0.60277777777777586</c:v>
                </c:pt>
                <c:pt idx="869">
                  <c:v>0.6034722222222203</c:v>
                </c:pt>
                <c:pt idx="870">
                  <c:v>0.60416666666666474</c:v>
                </c:pt>
                <c:pt idx="871">
                  <c:v>0.60486111111110918</c:v>
                </c:pt>
                <c:pt idx="872">
                  <c:v>0.60555555555555363</c:v>
                </c:pt>
                <c:pt idx="873">
                  <c:v>0.60624999999999807</c:v>
                </c:pt>
                <c:pt idx="874">
                  <c:v>0.60694444444444251</c:v>
                </c:pt>
                <c:pt idx="875">
                  <c:v>0.60763888888888695</c:v>
                </c:pt>
                <c:pt idx="876">
                  <c:v>0.60833333333333139</c:v>
                </c:pt>
                <c:pt idx="877">
                  <c:v>0.60902777777777584</c:v>
                </c:pt>
                <c:pt idx="878">
                  <c:v>0.60972222222222028</c:v>
                </c:pt>
                <c:pt idx="879">
                  <c:v>0.61041666666666472</c:v>
                </c:pt>
                <c:pt idx="880">
                  <c:v>0.61111111111110916</c:v>
                </c:pt>
                <c:pt idx="881">
                  <c:v>0.6118055555555536</c:v>
                </c:pt>
                <c:pt idx="882">
                  <c:v>0.61249999999999805</c:v>
                </c:pt>
                <c:pt idx="883">
                  <c:v>0.61319444444444249</c:v>
                </c:pt>
                <c:pt idx="884">
                  <c:v>0.61388888888888693</c:v>
                </c:pt>
                <c:pt idx="885">
                  <c:v>0.61458333333333137</c:v>
                </c:pt>
                <c:pt idx="886">
                  <c:v>0.61527777777777581</c:v>
                </c:pt>
                <c:pt idx="887">
                  <c:v>0.61597222222222026</c:v>
                </c:pt>
                <c:pt idx="888">
                  <c:v>0.6166666666666647</c:v>
                </c:pt>
                <c:pt idx="889">
                  <c:v>0.61736111111110914</c:v>
                </c:pt>
                <c:pt idx="890">
                  <c:v>0.61805555555555358</c:v>
                </c:pt>
                <c:pt idx="891">
                  <c:v>0.61874999999999802</c:v>
                </c:pt>
                <c:pt idx="892">
                  <c:v>0.61944444444444247</c:v>
                </c:pt>
                <c:pt idx="893">
                  <c:v>0.62013888888888691</c:v>
                </c:pt>
                <c:pt idx="894">
                  <c:v>0.62083333333333135</c:v>
                </c:pt>
                <c:pt idx="895">
                  <c:v>0.62152777777777579</c:v>
                </c:pt>
                <c:pt idx="896">
                  <c:v>0.62222222222222023</c:v>
                </c:pt>
                <c:pt idx="897">
                  <c:v>0.62291666666666468</c:v>
                </c:pt>
                <c:pt idx="898">
                  <c:v>0.62361111111110912</c:v>
                </c:pt>
                <c:pt idx="899">
                  <c:v>0.62430555555555356</c:v>
                </c:pt>
                <c:pt idx="900">
                  <c:v>0.624999999999998</c:v>
                </c:pt>
                <c:pt idx="901">
                  <c:v>0.62569444444444244</c:v>
                </c:pt>
                <c:pt idx="902">
                  <c:v>0.62638888888888689</c:v>
                </c:pt>
                <c:pt idx="903">
                  <c:v>0.62708333333333133</c:v>
                </c:pt>
                <c:pt idx="904">
                  <c:v>0.62777777777777577</c:v>
                </c:pt>
                <c:pt idx="905">
                  <c:v>0.62847222222222021</c:v>
                </c:pt>
                <c:pt idx="906">
                  <c:v>0.62916666666666465</c:v>
                </c:pt>
                <c:pt idx="907">
                  <c:v>0.6298611111111091</c:v>
                </c:pt>
                <c:pt idx="908">
                  <c:v>0.63055555555555354</c:v>
                </c:pt>
                <c:pt idx="909">
                  <c:v>0.63124999999999798</c:v>
                </c:pt>
                <c:pt idx="910">
                  <c:v>0.63194444444444242</c:v>
                </c:pt>
                <c:pt idx="911">
                  <c:v>0.63263888888888686</c:v>
                </c:pt>
                <c:pt idx="912">
                  <c:v>0.63333333333333131</c:v>
                </c:pt>
                <c:pt idx="913">
                  <c:v>0.63402777777777575</c:v>
                </c:pt>
                <c:pt idx="914">
                  <c:v>0.63472222222222019</c:v>
                </c:pt>
                <c:pt idx="915">
                  <c:v>0.63541666666666463</c:v>
                </c:pt>
                <c:pt idx="916">
                  <c:v>0.63611111111110907</c:v>
                </c:pt>
                <c:pt idx="917">
                  <c:v>0.63680555555555352</c:v>
                </c:pt>
                <c:pt idx="918">
                  <c:v>0.63749999999999796</c:v>
                </c:pt>
                <c:pt idx="919">
                  <c:v>0.6381944444444424</c:v>
                </c:pt>
                <c:pt idx="920">
                  <c:v>0.63888888888888684</c:v>
                </c:pt>
                <c:pt idx="921">
                  <c:v>0.63958333333333128</c:v>
                </c:pt>
                <c:pt idx="922">
                  <c:v>0.64027777777777573</c:v>
                </c:pt>
                <c:pt idx="923">
                  <c:v>0.64097222222222017</c:v>
                </c:pt>
                <c:pt idx="924">
                  <c:v>0.64166666666666461</c:v>
                </c:pt>
                <c:pt idx="925">
                  <c:v>0.64236111111110905</c:v>
                </c:pt>
                <c:pt idx="926">
                  <c:v>0.64305555555555349</c:v>
                </c:pt>
                <c:pt idx="927">
                  <c:v>0.64374999999999793</c:v>
                </c:pt>
                <c:pt idx="928">
                  <c:v>0.64444444444444238</c:v>
                </c:pt>
                <c:pt idx="929">
                  <c:v>0.64513888888888682</c:v>
                </c:pt>
                <c:pt idx="930">
                  <c:v>0.64583333333333126</c:v>
                </c:pt>
                <c:pt idx="931">
                  <c:v>0.6465277777777757</c:v>
                </c:pt>
                <c:pt idx="932">
                  <c:v>0.64722222222222014</c:v>
                </c:pt>
                <c:pt idx="933">
                  <c:v>0.64791666666666459</c:v>
                </c:pt>
                <c:pt idx="934">
                  <c:v>0.64861111111110903</c:v>
                </c:pt>
                <c:pt idx="935">
                  <c:v>0.64930555555555347</c:v>
                </c:pt>
                <c:pt idx="936">
                  <c:v>0.64999999999999791</c:v>
                </c:pt>
                <c:pt idx="937">
                  <c:v>0.65069444444444235</c:v>
                </c:pt>
                <c:pt idx="938">
                  <c:v>0.6513888888888868</c:v>
                </c:pt>
                <c:pt idx="939">
                  <c:v>0.65208333333333124</c:v>
                </c:pt>
                <c:pt idx="940">
                  <c:v>0.65277777777777568</c:v>
                </c:pt>
                <c:pt idx="941">
                  <c:v>0.65347222222222012</c:v>
                </c:pt>
                <c:pt idx="942">
                  <c:v>0.65416666666666456</c:v>
                </c:pt>
                <c:pt idx="943">
                  <c:v>0.65486111111110901</c:v>
                </c:pt>
                <c:pt idx="944">
                  <c:v>0.65555555555555345</c:v>
                </c:pt>
                <c:pt idx="945">
                  <c:v>0.65624999999999789</c:v>
                </c:pt>
                <c:pt idx="946">
                  <c:v>0.65694444444444233</c:v>
                </c:pt>
                <c:pt idx="947">
                  <c:v>0.65763888888888677</c:v>
                </c:pt>
                <c:pt idx="948">
                  <c:v>0.65833333333333122</c:v>
                </c:pt>
                <c:pt idx="949">
                  <c:v>0.65902777777777566</c:v>
                </c:pt>
                <c:pt idx="950">
                  <c:v>0.6597222222222201</c:v>
                </c:pt>
                <c:pt idx="951">
                  <c:v>0.66041666666666454</c:v>
                </c:pt>
                <c:pt idx="952">
                  <c:v>0.66111111111110898</c:v>
                </c:pt>
                <c:pt idx="953">
                  <c:v>0.66180555555555343</c:v>
                </c:pt>
                <c:pt idx="954">
                  <c:v>0.66249999999999787</c:v>
                </c:pt>
                <c:pt idx="955">
                  <c:v>0.66319444444444231</c:v>
                </c:pt>
                <c:pt idx="956">
                  <c:v>0.66388888888888675</c:v>
                </c:pt>
                <c:pt idx="957">
                  <c:v>0.66458333333333119</c:v>
                </c:pt>
                <c:pt idx="958">
                  <c:v>0.66527777777777564</c:v>
                </c:pt>
                <c:pt idx="959">
                  <c:v>0.66597222222222008</c:v>
                </c:pt>
                <c:pt idx="960">
                  <c:v>0.66666666666666452</c:v>
                </c:pt>
                <c:pt idx="961">
                  <c:v>0.66736111111110896</c:v>
                </c:pt>
                <c:pt idx="962">
                  <c:v>0.6680555555555534</c:v>
                </c:pt>
                <c:pt idx="963">
                  <c:v>0.66874999999999785</c:v>
                </c:pt>
                <c:pt idx="964">
                  <c:v>0.66944444444444229</c:v>
                </c:pt>
                <c:pt idx="965">
                  <c:v>0.67013888888888673</c:v>
                </c:pt>
                <c:pt idx="966">
                  <c:v>0.67083333333333117</c:v>
                </c:pt>
                <c:pt idx="967">
                  <c:v>0.67152777777777561</c:v>
                </c:pt>
                <c:pt idx="968">
                  <c:v>0.67222222222222006</c:v>
                </c:pt>
                <c:pt idx="969">
                  <c:v>0.6729166666666645</c:v>
                </c:pt>
                <c:pt idx="970">
                  <c:v>0.67361111111110894</c:v>
                </c:pt>
                <c:pt idx="971">
                  <c:v>0.67430555555555338</c:v>
                </c:pt>
                <c:pt idx="972">
                  <c:v>0.67499999999999782</c:v>
                </c:pt>
                <c:pt idx="973">
                  <c:v>0.67569444444444227</c:v>
                </c:pt>
                <c:pt idx="974">
                  <c:v>0.67638888888888671</c:v>
                </c:pt>
                <c:pt idx="975">
                  <c:v>0.67708333333333115</c:v>
                </c:pt>
                <c:pt idx="976">
                  <c:v>0.67777777777777559</c:v>
                </c:pt>
                <c:pt idx="977">
                  <c:v>0.67847222222222003</c:v>
                </c:pt>
                <c:pt idx="978">
                  <c:v>0.67916666666666448</c:v>
                </c:pt>
                <c:pt idx="979">
                  <c:v>0.67986111111110892</c:v>
                </c:pt>
                <c:pt idx="980">
                  <c:v>0.68055555555555336</c:v>
                </c:pt>
                <c:pt idx="981">
                  <c:v>0.6812499999999978</c:v>
                </c:pt>
                <c:pt idx="982">
                  <c:v>0.68194444444444224</c:v>
                </c:pt>
                <c:pt idx="983">
                  <c:v>0.68263888888888669</c:v>
                </c:pt>
                <c:pt idx="984">
                  <c:v>0.68333333333333113</c:v>
                </c:pt>
                <c:pt idx="985">
                  <c:v>0.68402777777777557</c:v>
                </c:pt>
                <c:pt idx="986">
                  <c:v>0.68472222222222001</c:v>
                </c:pt>
                <c:pt idx="987">
                  <c:v>0.68541666666666445</c:v>
                </c:pt>
                <c:pt idx="988">
                  <c:v>0.6861111111111089</c:v>
                </c:pt>
                <c:pt idx="989">
                  <c:v>0.68680555555555334</c:v>
                </c:pt>
                <c:pt idx="990">
                  <c:v>0.68749999999999778</c:v>
                </c:pt>
                <c:pt idx="991">
                  <c:v>0.68819444444444222</c:v>
                </c:pt>
                <c:pt idx="992">
                  <c:v>0.68888888888888666</c:v>
                </c:pt>
                <c:pt idx="993">
                  <c:v>0.68958333333333111</c:v>
                </c:pt>
                <c:pt idx="994">
                  <c:v>0.69027777777777555</c:v>
                </c:pt>
                <c:pt idx="995">
                  <c:v>0.69097222222221999</c:v>
                </c:pt>
                <c:pt idx="996">
                  <c:v>0.69166666666666443</c:v>
                </c:pt>
                <c:pt idx="997">
                  <c:v>0.69236111111110887</c:v>
                </c:pt>
                <c:pt idx="998">
                  <c:v>0.69305555555555332</c:v>
                </c:pt>
                <c:pt idx="999">
                  <c:v>0.69374999999999776</c:v>
                </c:pt>
                <c:pt idx="1000">
                  <c:v>0.6944444444444422</c:v>
                </c:pt>
                <c:pt idx="1001">
                  <c:v>0.69513888888888664</c:v>
                </c:pt>
                <c:pt idx="1002">
                  <c:v>0.69583333333333108</c:v>
                </c:pt>
                <c:pt idx="1003">
                  <c:v>0.69652777777777553</c:v>
                </c:pt>
                <c:pt idx="1004">
                  <c:v>0.69722222222221997</c:v>
                </c:pt>
                <c:pt idx="1005">
                  <c:v>0.69791666666666441</c:v>
                </c:pt>
                <c:pt idx="1006">
                  <c:v>0.69861111111110885</c:v>
                </c:pt>
                <c:pt idx="1007">
                  <c:v>0.69930555555555329</c:v>
                </c:pt>
                <c:pt idx="1008">
                  <c:v>0.69999999999999774</c:v>
                </c:pt>
                <c:pt idx="1009">
                  <c:v>0.70069444444444218</c:v>
                </c:pt>
                <c:pt idx="1010">
                  <c:v>0.70138888888888662</c:v>
                </c:pt>
                <c:pt idx="1011">
                  <c:v>0.70208333333333106</c:v>
                </c:pt>
                <c:pt idx="1012">
                  <c:v>0.7027777777777755</c:v>
                </c:pt>
                <c:pt idx="1013">
                  <c:v>0.70347222222221995</c:v>
                </c:pt>
                <c:pt idx="1014">
                  <c:v>0.70416666666666439</c:v>
                </c:pt>
                <c:pt idx="1015">
                  <c:v>0.70486111111110883</c:v>
                </c:pt>
                <c:pt idx="1016">
                  <c:v>0.70555555555555327</c:v>
                </c:pt>
                <c:pt idx="1017">
                  <c:v>0.70624999999999771</c:v>
                </c:pt>
                <c:pt idx="1018">
                  <c:v>0.70694444444444215</c:v>
                </c:pt>
                <c:pt idx="1019">
                  <c:v>0.7076388888888866</c:v>
                </c:pt>
                <c:pt idx="1020">
                  <c:v>0.70833333333333104</c:v>
                </c:pt>
                <c:pt idx="1021">
                  <c:v>0.70902777777777548</c:v>
                </c:pt>
                <c:pt idx="1022">
                  <c:v>0.70972222222221992</c:v>
                </c:pt>
                <c:pt idx="1023">
                  <c:v>0.71041666666666436</c:v>
                </c:pt>
                <c:pt idx="1024">
                  <c:v>0.71111111111110881</c:v>
                </c:pt>
                <c:pt idx="1025">
                  <c:v>0.71180555555555325</c:v>
                </c:pt>
                <c:pt idx="1026">
                  <c:v>0.71249999999999769</c:v>
                </c:pt>
                <c:pt idx="1027">
                  <c:v>0.71319444444444213</c:v>
                </c:pt>
                <c:pt idx="1028">
                  <c:v>0.71388888888888657</c:v>
                </c:pt>
                <c:pt idx="1029">
                  <c:v>0.71458333333333102</c:v>
                </c:pt>
                <c:pt idx="1030">
                  <c:v>0.71527777777777546</c:v>
                </c:pt>
                <c:pt idx="1031">
                  <c:v>0.7159722222222199</c:v>
                </c:pt>
                <c:pt idx="1032">
                  <c:v>0.71666666666666434</c:v>
                </c:pt>
                <c:pt idx="1033">
                  <c:v>0.71736111111110878</c:v>
                </c:pt>
                <c:pt idx="1034">
                  <c:v>0.71805555555555323</c:v>
                </c:pt>
                <c:pt idx="1035">
                  <c:v>0.71874999999999767</c:v>
                </c:pt>
                <c:pt idx="1036">
                  <c:v>0.71944444444444211</c:v>
                </c:pt>
                <c:pt idx="1037">
                  <c:v>0.72013888888888655</c:v>
                </c:pt>
                <c:pt idx="1038">
                  <c:v>0.72083333333333099</c:v>
                </c:pt>
                <c:pt idx="1039">
                  <c:v>0.72152777777777544</c:v>
                </c:pt>
                <c:pt idx="1040">
                  <c:v>0.72222222222221988</c:v>
                </c:pt>
                <c:pt idx="1041">
                  <c:v>0.72291666666666432</c:v>
                </c:pt>
                <c:pt idx="1042">
                  <c:v>0.72361111111110876</c:v>
                </c:pt>
                <c:pt idx="1043">
                  <c:v>0.7243055555555532</c:v>
                </c:pt>
                <c:pt idx="1044">
                  <c:v>0.72499999999999765</c:v>
                </c:pt>
                <c:pt idx="1045">
                  <c:v>0.72569444444444209</c:v>
                </c:pt>
                <c:pt idx="1046">
                  <c:v>0.72638888888888653</c:v>
                </c:pt>
                <c:pt idx="1047">
                  <c:v>0.72708333333333097</c:v>
                </c:pt>
                <c:pt idx="1048">
                  <c:v>0.72777777777777541</c:v>
                </c:pt>
                <c:pt idx="1049">
                  <c:v>0.72847222222221986</c:v>
                </c:pt>
                <c:pt idx="1050">
                  <c:v>0.7291666666666643</c:v>
                </c:pt>
                <c:pt idx="1051">
                  <c:v>0.72986111111110874</c:v>
                </c:pt>
                <c:pt idx="1052">
                  <c:v>0.73055555555555318</c:v>
                </c:pt>
                <c:pt idx="1053">
                  <c:v>0.73124999999999762</c:v>
                </c:pt>
                <c:pt idx="1054">
                  <c:v>0.73194444444444207</c:v>
                </c:pt>
                <c:pt idx="1055">
                  <c:v>0.73263888888888651</c:v>
                </c:pt>
                <c:pt idx="1056">
                  <c:v>0.73333333333333095</c:v>
                </c:pt>
                <c:pt idx="1057">
                  <c:v>0.73402777777777539</c:v>
                </c:pt>
                <c:pt idx="1058">
                  <c:v>0.73472222222221983</c:v>
                </c:pt>
                <c:pt idx="1059">
                  <c:v>0.73541666666666428</c:v>
                </c:pt>
                <c:pt idx="1060">
                  <c:v>0.73611111111110872</c:v>
                </c:pt>
                <c:pt idx="1061">
                  <c:v>0.73680555555555316</c:v>
                </c:pt>
                <c:pt idx="1062">
                  <c:v>0.7374999999999976</c:v>
                </c:pt>
                <c:pt idx="1063">
                  <c:v>0.73819444444444204</c:v>
                </c:pt>
                <c:pt idx="1064">
                  <c:v>0.73888888888888649</c:v>
                </c:pt>
                <c:pt idx="1065">
                  <c:v>0.73958333333333093</c:v>
                </c:pt>
                <c:pt idx="1066">
                  <c:v>0.74027777777777537</c:v>
                </c:pt>
                <c:pt idx="1067">
                  <c:v>0.74097222222221981</c:v>
                </c:pt>
                <c:pt idx="1068">
                  <c:v>0.74166666666666425</c:v>
                </c:pt>
                <c:pt idx="1069">
                  <c:v>0.7423611111111087</c:v>
                </c:pt>
                <c:pt idx="1070">
                  <c:v>0.74305555555555314</c:v>
                </c:pt>
                <c:pt idx="1071">
                  <c:v>0.74374999999999758</c:v>
                </c:pt>
                <c:pt idx="1072">
                  <c:v>0.74444444444444202</c:v>
                </c:pt>
                <c:pt idx="1073">
                  <c:v>0.74513888888888646</c:v>
                </c:pt>
                <c:pt idx="1074">
                  <c:v>0.74583333333333091</c:v>
                </c:pt>
                <c:pt idx="1075">
                  <c:v>0.74652777777777535</c:v>
                </c:pt>
                <c:pt idx="1076">
                  <c:v>0.74722222222221979</c:v>
                </c:pt>
                <c:pt idx="1077">
                  <c:v>0.74791666666666423</c:v>
                </c:pt>
                <c:pt idx="1078">
                  <c:v>0.74861111111110867</c:v>
                </c:pt>
                <c:pt idx="1079">
                  <c:v>0.74930555555555312</c:v>
                </c:pt>
                <c:pt idx="1080">
                  <c:v>0.74999999999999756</c:v>
                </c:pt>
                <c:pt idx="1081">
                  <c:v>0.750694444444442</c:v>
                </c:pt>
                <c:pt idx="1082">
                  <c:v>0.75138888888888644</c:v>
                </c:pt>
                <c:pt idx="1083">
                  <c:v>0.75208333333333088</c:v>
                </c:pt>
                <c:pt idx="1084">
                  <c:v>0.75277777777777533</c:v>
                </c:pt>
                <c:pt idx="1085">
                  <c:v>0.75347222222221977</c:v>
                </c:pt>
                <c:pt idx="1086">
                  <c:v>0.75416666666666421</c:v>
                </c:pt>
                <c:pt idx="1087">
                  <c:v>0.75486111111110865</c:v>
                </c:pt>
                <c:pt idx="1088">
                  <c:v>0.75555555555555309</c:v>
                </c:pt>
                <c:pt idx="1089">
                  <c:v>0.75624999999999754</c:v>
                </c:pt>
                <c:pt idx="1090">
                  <c:v>0.75694444444444198</c:v>
                </c:pt>
                <c:pt idx="1091">
                  <c:v>0.75763888888888642</c:v>
                </c:pt>
                <c:pt idx="1092">
                  <c:v>0.75833333333333086</c:v>
                </c:pt>
                <c:pt idx="1093">
                  <c:v>0.7590277777777753</c:v>
                </c:pt>
                <c:pt idx="1094">
                  <c:v>0.75972222222221975</c:v>
                </c:pt>
                <c:pt idx="1095">
                  <c:v>0.76041666666666419</c:v>
                </c:pt>
                <c:pt idx="1096">
                  <c:v>0.76111111111110863</c:v>
                </c:pt>
                <c:pt idx="1097">
                  <c:v>0.76180555555555307</c:v>
                </c:pt>
                <c:pt idx="1098">
                  <c:v>0.76249999999999751</c:v>
                </c:pt>
                <c:pt idx="1099">
                  <c:v>0.76319444444444196</c:v>
                </c:pt>
                <c:pt idx="1100">
                  <c:v>0.7638888888888864</c:v>
                </c:pt>
                <c:pt idx="1101">
                  <c:v>0.76458333333333084</c:v>
                </c:pt>
                <c:pt idx="1102">
                  <c:v>0.76527777777777528</c:v>
                </c:pt>
                <c:pt idx="1103">
                  <c:v>0.76597222222221972</c:v>
                </c:pt>
                <c:pt idx="1104">
                  <c:v>0.76666666666666416</c:v>
                </c:pt>
                <c:pt idx="1105">
                  <c:v>0.76736111111110861</c:v>
                </c:pt>
                <c:pt idx="1106">
                  <c:v>0.76805555555555305</c:v>
                </c:pt>
                <c:pt idx="1107">
                  <c:v>0.76874999999999749</c:v>
                </c:pt>
                <c:pt idx="1108">
                  <c:v>0.76944444444444193</c:v>
                </c:pt>
                <c:pt idx="1109">
                  <c:v>0.77013888888888637</c:v>
                </c:pt>
                <c:pt idx="1110">
                  <c:v>0.77083333333333082</c:v>
                </c:pt>
                <c:pt idx="1111">
                  <c:v>0.77152777777777526</c:v>
                </c:pt>
                <c:pt idx="1112">
                  <c:v>0.7722222222222197</c:v>
                </c:pt>
                <c:pt idx="1113">
                  <c:v>0.77291666666666414</c:v>
                </c:pt>
                <c:pt idx="1114">
                  <c:v>0.77361111111110858</c:v>
                </c:pt>
                <c:pt idx="1115">
                  <c:v>0.77430555555555303</c:v>
                </c:pt>
                <c:pt idx="1116">
                  <c:v>0.77499999999999747</c:v>
                </c:pt>
                <c:pt idx="1117">
                  <c:v>0.77569444444444191</c:v>
                </c:pt>
                <c:pt idx="1118">
                  <c:v>0.77638888888888635</c:v>
                </c:pt>
                <c:pt idx="1119">
                  <c:v>0.77708333333333079</c:v>
                </c:pt>
                <c:pt idx="1120">
                  <c:v>0.77777777777777524</c:v>
                </c:pt>
                <c:pt idx="1121">
                  <c:v>0.77847222222221968</c:v>
                </c:pt>
                <c:pt idx="1122">
                  <c:v>0.77916666666666412</c:v>
                </c:pt>
                <c:pt idx="1123">
                  <c:v>0.77986111111110856</c:v>
                </c:pt>
                <c:pt idx="1124">
                  <c:v>0.780555555555553</c:v>
                </c:pt>
                <c:pt idx="1125">
                  <c:v>0.78124999999999745</c:v>
                </c:pt>
                <c:pt idx="1126">
                  <c:v>0.78194444444444189</c:v>
                </c:pt>
                <c:pt idx="1127">
                  <c:v>0.78263888888888633</c:v>
                </c:pt>
                <c:pt idx="1128">
                  <c:v>0.78333333333333077</c:v>
                </c:pt>
                <c:pt idx="1129">
                  <c:v>0.78402777777777521</c:v>
                </c:pt>
                <c:pt idx="1130">
                  <c:v>0.78472222222221966</c:v>
                </c:pt>
                <c:pt idx="1131">
                  <c:v>0.7854166666666641</c:v>
                </c:pt>
                <c:pt idx="1132">
                  <c:v>0.78611111111110854</c:v>
                </c:pt>
                <c:pt idx="1133">
                  <c:v>0.78680555555555298</c:v>
                </c:pt>
                <c:pt idx="1134">
                  <c:v>0.78749999999999742</c:v>
                </c:pt>
                <c:pt idx="1135">
                  <c:v>0.78819444444444187</c:v>
                </c:pt>
                <c:pt idx="1136">
                  <c:v>0.78888888888888631</c:v>
                </c:pt>
                <c:pt idx="1137">
                  <c:v>0.78958333333333075</c:v>
                </c:pt>
                <c:pt idx="1138">
                  <c:v>0.79027777777777519</c:v>
                </c:pt>
                <c:pt idx="1139">
                  <c:v>0.79097222222221963</c:v>
                </c:pt>
                <c:pt idx="1140">
                  <c:v>0.79166666666666408</c:v>
                </c:pt>
                <c:pt idx="1141">
                  <c:v>0.79236111111110852</c:v>
                </c:pt>
                <c:pt idx="1142">
                  <c:v>0.79305555555555296</c:v>
                </c:pt>
                <c:pt idx="1143">
                  <c:v>0.7937499999999974</c:v>
                </c:pt>
                <c:pt idx="1144">
                  <c:v>0.79444444444444184</c:v>
                </c:pt>
                <c:pt idx="1145">
                  <c:v>0.79513888888888629</c:v>
                </c:pt>
                <c:pt idx="1146">
                  <c:v>0.79583333333333073</c:v>
                </c:pt>
                <c:pt idx="1147">
                  <c:v>0.79652777777777517</c:v>
                </c:pt>
                <c:pt idx="1148">
                  <c:v>0.79722222222221961</c:v>
                </c:pt>
                <c:pt idx="1149">
                  <c:v>0.79791666666666405</c:v>
                </c:pt>
                <c:pt idx="1150">
                  <c:v>0.7986111111111085</c:v>
                </c:pt>
                <c:pt idx="1151">
                  <c:v>0.79930555555555294</c:v>
                </c:pt>
                <c:pt idx="1152">
                  <c:v>0.79999999999999738</c:v>
                </c:pt>
                <c:pt idx="1153">
                  <c:v>0.80069444444444182</c:v>
                </c:pt>
                <c:pt idx="1154">
                  <c:v>0.80138888888888626</c:v>
                </c:pt>
                <c:pt idx="1155">
                  <c:v>0.80208333333333071</c:v>
                </c:pt>
                <c:pt idx="1156">
                  <c:v>0.80277777777777515</c:v>
                </c:pt>
                <c:pt idx="1157">
                  <c:v>0.80347222222221959</c:v>
                </c:pt>
                <c:pt idx="1158">
                  <c:v>0.80416666666666403</c:v>
                </c:pt>
                <c:pt idx="1159">
                  <c:v>0.80486111111110847</c:v>
                </c:pt>
                <c:pt idx="1160">
                  <c:v>0.80555555555555292</c:v>
                </c:pt>
                <c:pt idx="1161">
                  <c:v>0.80624999999999736</c:v>
                </c:pt>
                <c:pt idx="1162">
                  <c:v>0.8069444444444418</c:v>
                </c:pt>
                <c:pt idx="1163">
                  <c:v>0.80763888888888624</c:v>
                </c:pt>
                <c:pt idx="1164">
                  <c:v>0.80833333333333068</c:v>
                </c:pt>
                <c:pt idx="1165">
                  <c:v>0.80902777777777513</c:v>
                </c:pt>
                <c:pt idx="1166">
                  <c:v>0.80972222222221957</c:v>
                </c:pt>
                <c:pt idx="1167">
                  <c:v>0.81041666666666401</c:v>
                </c:pt>
                <c:pt idx="1168">
                  <c:v>0.81111111111110845</c:v>
                </c:pt>
                <c:pt idx="1169">
                  <c:v>0.81180555555555289</c:v>
                </c:pt>
                <c:pt idx="1170">
                  <c:v>0.81249999999999734</c:v>
                </c:pt>
                <c:pt idx="1171">
                  <c:v>0.81319444444444178</c:v>
                </c:pt>
                <c:pt idx="1172">
                  <c:v>0.81388888888888622</c:v>
                </c:pt>
                <c:pt idx="1173">
                  <c:v>0.81458333333333066</c:v>
                </c:pt>
                <c:pt idx="1174">
                  <c:v>0.8152777777777751</c:v>
                </c:pt>
                <c:pt idx="1175">
                  <c:v>0.81597222222221955</c:v>
                </c:pt>
                <c:pt idx="1176">
                  <c:v>0.81666666666666399</c:v>
                </c:pt>
                <c:pt idx="1177">
                  <c:v>0.81736111111110843</c:v>
                </c:pt>
                <c:pt idx="1178">
                  <c:v>0.81805555555555287</c:v>
                </c:pt>
                <c:pt idx="1179">
                  <c:v>0.81874999999999731</c:v>
                </c:pt>
                <c:pt idx="1180">
                  <c:v>0.81944444444444176</c:v>
                </c:pt>
                <c:pt idx="1181">
                  <c:v>0.8201388888888862</c:v>
                </c:pt>
                <c:pt idx="1182">
                  <c:v>0.82083333333333064</c:v>
                </c:pt>
                <c:pt idx="1183">
                  <c:v>0.82152777777777508</c:v>
                </c:pt>
                <c:pt idx="1184">
                  <c:v>0.82222222222221952</c:v>
                </c:pt>
                <c:pt idx="1185">
                  <c:v>0.82291666666666397</c:v>
                </c:pt>
                <c:pt idx="1186">
                  <c:v>0.82361111111110841</c:v>
                </c:pt>
                <c:pt idx="1187">
                  <c:v>0.82430555555555285</c:v>
                </c:pt>
                <c:pt idx="1188">
                  <c:v>0.82499999999999729</c:v>
                </c:pt>
                <c:pt idx="1189">
                  <c:v>0.82569444444444173</c:v>
                </c:pt>
                <c:pt idx="1190">
                  <c:v>0.82638888888888618</c:v>
                </c:pt>
                <c:pt idx="1191">
                  <c:v>0.82708333333333062</c:v>
                </c:pt>
                <c:pt idx="1192">
                  <c:v>0.82777777777777506</c:v>
                </c:pt>
                <c:pt idx="1193">
                  <c:v>0.8284722222222195</c:v>
                </c:pt>
                <c:pt idx="1194">
                  <c:v>0.82916666666666394</c:v>
                </c:pt>
                <c:pt idx="1195">
                  <c:v>0.82986111111110838</c:v>
                </c:pt>
                <c:pt idx="1196">
                  <c:v>0.83055555555555283</c:v>
                </c:pt>
                <c:pt idx="1197">
                  <c:v>0.83124999999999727</c:v>
                </c:pt>
                <c:pt idx="1198">
                  <c:v>0.83194444444444171</c:v>
                </c:pt>
                <c:pt idx="1199">
                  <c:v>0.83263888888888615</c:v>
                </c:pt>
                <c:pt idx="1200">
                  <c:v>0.83333333333333059</c:v>
                </c:pt>
                <c:pt idx="1201">
                  <c:v>0.83402777777777504</c:v>
                </c:pt>
                <c:pt idx="1202">
                  <c:v>0.83472222222221948</c:v>
                </c:pt>
                <c:pt idx="1203">
                  <c:v>0.83541666666666392</c:v>
                </c:pt>
                <c:pt idx="1204">
                  <c:v>0.83611111111110836</c:v>
                </c:pt>
                <c:pt idx="1205">
                  <c:v>0.8368055555555528</c:v>
                </c:pt>
                <c:pt idx="1206">
                  <c:v>0.83749999999999725</c:v>
                </c:pt>
                <c:pt idx="1207">
                  <c:v>0.83819444444444169</c:v>
                </c:pt>
                <c:pt idx="1208">
                  <c:v>0.83888888888888613</c:v>
                </c:pt>
                <c:pt idx="1209">
                  <c:v>0.83958333333333057</c:v>
                </c:pt>
                <c:pt idx="1210">
                  <c:v>0.84027777777777501</c:v>
                </c:pt>
                <c:pt idx="1211">
                  <c:v>0.84097222222221946</c:v>
                </c:pt>
                <c:pt idx="1212">
                  <c:v>0.8416666666666639</c:v>
                </c:pt>
                <c:pt idx="1213">
                  <c:v>0.84236111111110834</c:v>
                </c:pt>
                <c:pt idx="1214">
                  <c:v>0.84305555555555278</c:v>
                </c:pt>
                <c:pt idx="1215">
                  <c:v>0.84374999999999722</c:v>
                </c:pt>
                <c:pt idx="1216">
                  <c:v>0.84444444444444167</c:v>
                </c:pt>
                <c:pt idx="1217">
                  <c:v>0.84513888888888611</c:v>
                </c:pt>
                <c:pt idx="1218">
                  <c:v>0.84583333333333055</c:v>
                </c:pt>
                <c:pt idx="1219">
                  <c:v>0.84652777777777499</c:v>
                </c:pt>
                <c:pt idx="1220">
                  <c:v>0.84722222222221943</c:v>
                </c:pt>
                <c:pt idx="1221">
                  <c:v>0.84791666666666388</c:v>
                </c:pt>
                <c:pt idx="1222">
                  <c:v>0.84861111111110832</c:v>
                </c:pt>
                <c:pt idx="1223">
                  <c:v>0.84930555555555276</c:v>
                </c:pt>
                <c:pt idx="1224">
                  <c:v>0.8499999999999972</c:v>
                </c:pt>
                <c:pt idx="1225">
                  <c:v>0.85069444444444164</c:v>
                </c:pt>
                <c:pt idx="1226">
                  <c:v>0.85138888888888609</c:v>
                </c:pt>
                <c:pt idx="1227">
                  <c:v>0.85208333333333053</c:v>
                </c:pt>
                <c:pt idx="1228">
                  <c:v>0.85277777777777497</c:v>
                </c:pt>
                <c:pt idx="1229">
                  <c:v>0.85347222222221941</c:v>
                </c:pt>
                <c:pt idx="1230">
                  <c:v>0.85416666666666385</c:v>
                </c:pt>
                <c:pt idx="1231">
                  <c:v>0.8548611111111083</c:v>
                </c:pt>
                <c:pt idx="1232">
                  <c:v>0.85555555555555274</c:v>
                </c:pt>
                <c:pt idx="1233">
                  <c:v>0.85624999999999718</c:v>
                </c:pt>
                <c:pt idx="1234">
                  <c:v>0.85694444444444162</c:v>
                </c:pt>
                <c:pt idx="1235">
                  <c:v>0.85763888888888606</c:v>
                </c:pt>
                <c:pt idx="1236">
                  <c:v>0.85833333333333051</c:v>
                </c:pt>
                <c:pt idx="1237">
                  <c:v>0.85902777777777495</c:v>
                </c:pt>
                <c:pt idx="1238">
                  <c:v>0.85972222222221939</c:v>
                </c:pt>
                <c:pt idx="1239">
                  <c:v>0.86041666666666383</c:v>
                </c:pt>
                <c:pt idx="1240">
                  <c:v>0.86111111111110827</c:v>
                </c:pt>
                <c:pt idx="1241">
                  <c:v>0.86180555555555272</c:v>
                </c:pt>
                <c:pt idx="1242">
                  <c:v>0.86249999999999716</c:v>
                </c:pt>
                <c:pt idx="1243">
                  <c:v>0.8631944444444416</c:v>
                </c:pt>
                <c:pt idx="1244">
                  <c:v>0.86388888888888604</c:v>
                </c:pt>
                <c:pt idx="1245">
                  <c:v>0.86458333333333048</c:v>
                </c:pt>
                <c:pt idx="1246">
                  <c:v>0.86527777777777493</c:v>
                </c:pt>
                <c:pt idx="1247">
                  <c:v>0.86597222222221937</c:v>
                </c:pt>
                <c:pt idx="1248">
                  <c:v>0.86666666666666381</c:v>
                </c:pt>
                <c:pt idx="1249">
                  <c:v>0.86736111111110825</c:v>
                </c:pt>
                <c:pt idx="1250">
                  <c:v>0.86805555555555269</c:v>
                </c:pt>
                <c:pt idx="1251">
                  <c:v>0.86874999999999714</c:v>
                </c:pt>
                <c:pt idx="1252">
                  <c:v>0.86944444444444158</c:v>
                </c:pt>
                <c:pt idx="1253">
                  <c:v>0.87013888888888602</c:v>
                </c:pt>
                <c:pt idx="1254">
                  <c:v>0.87083333333333046</c:v>
                </c:pt>
                <c:pt idx="1255">
                  <c:v>0.8715277777777749</c:v>
                </c:pt>
                <c:pt idx="1256">
                  <c:v>0.87222222222221935</c:v>
                </c:pt>
                <c:pt idx="1257">
                  <c:v>0.87291666666666379</c:v>
                </c:pt>
                <c:pt idx="1258">
                  <c:v>0.87361111111110823</c:v>
                </c:pt>
                <c:pt idx="1259">
                  <c:v>0.87430555555555267</c:v>
                </c:pt>
                <c:pt idx="1260">
                  <c:v>0.87499999999999711</c:v>
                </c:pt>
                <c:pt idx="1261">
                  <c:v>0.87569444444444156</c:v>
                </c:pt>
                <c:pt idx="1262">
                  <c:v>0.876388888888886</c:v>
                </c:pt>
                <c:pt idx="1263">
                  <c:v>0.87708333333333044</c:v>
                </c:pt>
                <c:pt idx="1264">
                  <c:v>0.87777777777777488</c:v>
                </c:pt>
                <c:pt idx="1265">
                  <c:v>0.87847222222221932</c:v>
                </c:pt>
                <c:pt idx="1266">
                  <c:v>0.87916666666666377</c:v>
                </c:pt>
                <c:pt idx="1267">
                  <c:v>0.87986111111110821</c:v>
                </c:pt>
                <c:pt idx="1268">
                  <c:v>0.88055555555555265</c:v>
                </c:pt>
                <c:pt idx="1269">
                  <c:v>0.88124999999999709</c:v>
                </c:pt>
                <c:pt idx="1270">
                  <c:v>0.88194444444444153</c:v>
                </c:pt>
                <c:pt idx="1271">
                  <c:v>0.88263888888888598</c:v>
                </c:pt>
                <c:pt idx="1272">
                  <c:v>0.88333333333333042</c:v>
                </c:pt>
                <c:pt idx="1273">
                  <c:v>0.88402777777777486</c:v>
                </c:pt>
                <c:pt idx="1274">
                  <c:v>0.8847222222222193</c:v>
                </c:pt>
                <c:pt idx="1275">
                  <c:v>0.88541666666666374</c:v>
                </c:pt>
                <c:pt idx="1276">
                  <c:v>0.88611111111110819</c:v>
                </c:pt>
                <c:pt idx="1277">
                  <c:v>0.88680555555555263</c:v>
                </c:pt>
                <c:pt idx="1278">
                  <c:v>0.88749999999999707</c:v>
                </c:pt>
                <c:pt idx="1279">
                  <c:v>0.88819444444444151</c:v>
                </c:pt>
                <c:pt idx="1280">
                  <c:v>0.88888888888888595</c:v>
                </c:pt>
                <c:pt idx="1281">
                  <c:v>0.88958333333333039</c:v>
                </c:pt>
                <c:pt idx="1282">
                  <c:v>0.89027777777777484</c:v>
                </c:pt>
                <c:pt idx="1283">
                  <c:v>0.89097222222221928</c:v>
                </c:pt>
                <c:pt idx="1284">
                  <c:v>0.89166666666666372</c:v>
                </c:pt>
                <c:pt idx="1285">
                  <c:v>0.89236111111110816</c:v>
                </c:pt>
                <c:pt idx="1286">
                  <c:v>0.8930555555555526</c:v>
                </c:pt>
                <c:pt idx="1287">
                  <c:v>0.89374999999999705</c:v>
                </c:pt>
                <c:pt idx="1288">
                  <c:v>0.89444444444444149</c:v>
                </c:pt>
                <c:pt idx="1289">
                  <c:v>0.89513888888888593</c:v>
                </c:pt>
                <c:pt idx="1290">
                  <c:v>0.89583333333333037</c:v>
                </c:pt>
                <c:pt idx="1291">
                  <c:v>0.89652777777777481</c:v>
                </c:pt>
                <c:pt idx="1292">
                  <c:v>0.89722222222221926</c:v>
                </c:pt>
                <c:pt idx="1293">
                  <c:v>0.8979166666666637</c:v>
                </c:pt>
                <c:pt idx="1294">
                  <c:v>0.89861111111110814</c:v>
                </c:pt>
                <c:pt idx="1295">
                  <c:v>0.89930555555555258</c:v>
                </c:pt>
                <c:pt idx="1296">
                  <c:v>0.89999999999999702</c:v>
                </c:pt>
                <c:pt idx="1297">
                  <c:v>0.90069444444444147</c:v>
                </c:pt>
                <c:pt idx="1298">
                  <c:v>0.90138888888888591</c:v>
                </c:pt>
                <c:pt idx="1299">
                  <c:v>0.90208333333333035</c:v>
                </c:pt>
                <c:pt idx="1300">
                  <c:v>0.90277777777777479</c:v>
                </c:pt>
                <c:pt idx="1301">
                  <c:v>0.90347222222221923</c:v>
                </c:pt>
                <c:pt idx="1302">
                  <c:v>0.90416666666666368</c:v>
                </c:pt>
                <c:pt idx="1303">
                  <c:v>0.90486111111110812</c:v>
                </c:pt>
                <c:pt idx="1304">
                  <c:v>0.90555555555555256</c:v>
                </c:pt>
                <c:pt idx="1305">
                  <c:v>0.906249999999997</c:v>
                </c:pt>
                <c:pt idx="1306">
                  <c:v>0.90694444444444144</c:v>
                </c:pt>
                <c:pt idx="1307">
                  <c:v>0.90763888888888589</c:v>
                </c:pt>
                <c:pt idx="1308">
                  <c:v>0.90833333333333033</c:v>
                </c:pt>
                <c:pt idx="1309">
                  <c:v>0.90902777777777477</c:v>
                </c:pt>
                <c:pt idx="1310">
                  <c:v>0.90972222222221921</c:v>
                </c:pt>
                <c:pt idx="1311">
                  <c:v>0.91041666666666365</c:v>
                </c:pt>
                <c:pt idx="1312">
                  <c:v>0.9111111111111081</c:v>
                </c:pt>
                <c:pt idx="1313">
                  <c:v>0.91180555555555254</c:v>
                </c:pt>
                <c:pt idx="1314">
                  <c:v>0.91249999999999698</c:v>
                </c:pt>
                <c:pt idx="1315">
                  <c:v>0.91319444444444142</c:v>
                </c:pt>
                <c:pt idx="1316">
                  <c:v>0.91388888888888586</c:v>
                </c:pt>
                <c:pt idx="1317">
                  <c:v>0.91458333333333031</c:v>
                </c:pt>
                <c:pt idx="1318">
                  <c:v>0.91527777777777475</c:v>
                </c:pt>
                <c:pt idx="1319">
                  <c:v>0.91597222222221919</c:v>
                </c:pt>
                <c:pt idx="1320">
                  <c:v>0.91666666666666363</c:v>
                </c:pt>
                <c:pt idx="1321">
                  <c:v>0.91736111111110807</c:v>
                </c:pt>
                <c:pt idx="1322">
                  <c:v>0.91805555555555252</c:v>
                </c:pt>
                <c:pt idx="1323">
                  <c:v>0.91874999999999696</c:v>
                </c:pt>
                <c:pt idx="1324">
                  <c:v>0.9194444444444414</c:v>
                </c:pt>
                <c:pt idx="1325">
                  <c:v>0.92013888888888584</c:v>
                </c:pt>
                <c:pt idx="1326">
                  <c:v>0.92083333333333028</c:v>
                </c:pt>
                <c:pt idx="1327">
                  <c:v>0.92152777777777473</c:v>
                </c:pt>
                <c:pt idx="1328">
                  <c:v>0.92222222222221917</c:v>
                </c:pt>
                <c:pt idx="1329">
                  <c:v>0.92291666666666361</c:v>
                </c:pt>
                <c:pt idx="1330">
                  <c:v>0.92361111111110805</c:v>
                </c:pt>
                <c:pt idx="1331">
                  <c:v>0.92430555555555249</c:v>
                </c:pt>
                <c:pt idx="1332">
                  <c:v>0.92499999999999694</c:v>
                </c:pt>
                <c:pt idx="1333">
                  <c:v>0.92569444444444138</c:v>
                </c:pt>
                <c:pt idx="1334">
                  <c:v>0.92638888888888582</c:v>
                </c:pt>
                <c:pt idx="1335">
                  <c:v>0.92708333333333026</c:v>
                </c:pt>
                <c:pt idx="1336">
                  <c:v>0.9277777777777747</c:v>
                </c:pt>
                <c:pt idx="1337">
                  <c:v>0.92847222222221915</c:v>
                </c:pt>
                <c:pt idx="1338">
                  <c:v>0.92916666666666359</c:v>
                </c:pt>
                <c:pt idx="1339">
                  <c:v>0.92986111111110803</c:v>
                </c:pt>
                <c:pt idx="1340">
                  <c:v>0.93055555555555247</c:v>
                </c:pt>
                <c:pt idx="1341">
                  <c:v>0.93124999999999691</c:v>
                </c:pt>
                <c:pt idx="1342">
                  <c:v>0.93194444444444136</c:v>
                </c:pt>
                <c:pt idx="1343">
                  <c:v>0.9326388888888858</c:v>
                </c:pt>
                <c:pt idx="1344">
                  <c:v>0.93333333333333024</c:v>
                </c:pt>
                <c:pt idx="1345">
                  <c:v>0.93402777777777468</c:v>
                </c:pt>
                <c:pt idx="1346">
                  <c:v>0.93472222222221912</c:v>
                </c:pt>
                <c:pt idx="1347">
                  <c:v>0.93541666666666357</c:v>
                </c:pt>
                <c:pt idx="1348">
                  <c:v>0.93611111111110801</c:v>
                </c:pt>
                <c:pt idx="1349">
                  <c:v>0.93680555555555245</c:v>
                </c:pt>
                <c:pt idx="1350">
                  <c:v>0.93749999999999689</c:v>
                </c:pt>
                <c:pt idx="1351">
                  <c:v>0.93819444444444133</c:v>
                </c:pt>
                <c:pt idx="1352">
                  <c:v>0.93888888888888578</c:v>
                </c:pt>
                <c:pt idx="1353">
                  <c:v>0.93958333333333022</c:v>
                </c:pt>
                <c:pt idx="1354">
                  <c:v>0.94027777777777466</c:v>
                </c:pt>
                <c:pt idx="1355">
                  <c:v>0.9409722222222191</c:v>
                </c:pt>
                <c:pt idx="1356">
                  <c:v>0.94166666666666354</c:v>
                </c:pt>
                <c:pt idx="1357">
                  <c:v>0.94236111111110799</c:v>
                </c:pt>
                <c:pt idx="1358">
                  <c:v>0.94305555555555243</c:v>
                </c:pt>
                <c:pt idx="1359">
                  <c:v>0.94374999999999687</c:v>
                </c:pt>
                <c:pt idx="1360">
                  <c:v>0.94444444444444131</c:v>
                </c:pt>
                <c:pt idx="1361">
                  <c:v>0.94513888888888575</c:v>
                </c:pt>
                <c:pt idx="1362">
                  <c:v>0.9458333333333302</c:v>
                </c:pt>
                <c:pt idx="1363">
                  <c:v>0.94652777777777464</c:v>
                </c:pt>
                <c:pt idx="1364">
                  <c:v>0.94722222222221908</c:v>
                </c:pt>
                <c:pt idx="1365">
                  <c:v>0.94791666666666352</c:v>
                </c:pt>
                <c:pt idx="1366">
                  <c:v>0.94861111111110796</c:v>
                </c:pt>
                <c:pt idx="1367">
                  <c:v>0.9493055555555524</c:v>
                </c:pt>
                <c:pt idx="1368">
                  <c:v>0.94999999999999685</c:v>
                </c:pt>
                <c:pt idx="1369">
                  <c:v>0.95069444444444129</c:v>
                </c:pt>
                <c:pt idx="1370">
                  <c:v>0.95138888888888573</c:v>
                </c:pt>
                <c:pt idx="1371">
                  <c:v>0.95208333333333017</c:v>
                </c:pt>
                <c:pt idx="1372">
                  <c:v>0.95277777777777461</c:v>
                </c:pt>
                <c:pt idx="1373">
                  <c:v>0.95347222222221906</c:v>
                </c:pt>
                <c:pt idx="1374">
                  <c:v>0.9541666666666635</c:v>
                </c:pt>
                <c:pt idx="1375">
                  <c:v>0.95486111111110794</c:v>
                </c:pt>
                <c:pt idx="1376">
                  <c:v>0.95555555555555238</c:v>
                </c:pt>
                <c:pt idx="1377">
                  <c:v>0.95624999999999682</c:v>
                </c:pt>
                <c:pt idx="1378">
                  <c:v>0.95694444444444127</c:v>
                </c:pt>
                <c:pt idx="1379">
                  <c:v>0.95763888888888571</c:v>
                </c:pt>
                <c:pt idx="1380">
                  <c:v>0.95833333333333015</c:v>
                </c:pt>
                <c:pt idx="1381">
                  <c:v>0.95902777777777459</c:v>
                </c:pt>
                <c:pt idx="1382">
                  <c:v>0.95972222222221903</c:v>
                </c:pt>
                <c:pt idx="1383">
                  <c:v>0.96041666666666348</c:v>
                </c:pt>
                <c:pt idx="1384">
                  <c:v>0.96111111111110792</c:v>
                </c:pt>
                <c:pt idx="1385">
                  <c:v>0.96180555555555236</c:v>
                </c:pt>
                <c:pt idx="1386">
                  <c:v>0.9624999999999968</c:v>
                </c:pt>
                <c:pt idx="1387">
                  <c:v>0.96319444444444124</c:v>
                </c:pt>
                <c:pt idx="1388">
                  <c:v>0.96388888888888569</c:v>
                </c:pt>
                <c:pt idx="1389">
                  <c:v>0.96458333333333013</c:v>
                </c:pt>
                <c:pt idx="1390">
                  <c:v>0.96527777777777457</c:v>
                </c:pt>
                <c:pt idx="1391">
                  <c:v>0.96597222222221901</c:v>
                </c:pt>
                <c:pt idx="1392">
                  <c:v>0.96666666666666345</c:v>
                </c:pt>
                <c:pt idx="1393">
                  <c:v>0.9673611111111079</c:v>
                </c:pt>
                <c:pt idx="1394">
                  <c:v>0.96805555555555234</c:v>
                </c:pt>
                <c:pt idx="1395">
                  <c:v>0.96874999999999678</c:v>
                </c:pt>
                <c:pt idx="1396">
                  <c:v>0.96944444444444122</c:v>
                </c:pt>
                <c:pt idx="1397">
                  <c:v>0.97013888888888566</c:v>
                </c:pt>
                <c:pt idx="1398">
                  <c:v>0.97083333333333011</c:v>
                </c:pt>
                <c:pt idx="1399">
                  <c:v>0.97152777777777455</c:v>
                </c:pt>
                <c:pt idx="1400">
                  <c:v>0.97222222222221899</c:v>
                </c:pt>
                <c:pt idx="1401">
                  <c:v>0.97291666666666343</c:v>
                </c:pt>
                <c:pt idx="1402">
                  <c:v>0.97361111111110787</c:v>
                </c:pt>
                <c:pt idx="1403">
                  <c:v>0.97430555555555232</c:v>
                </c:pt>
                <c:pt idx="1404">
                  <c:v>0.97499999999999676</c:v>
                </c:pt>
                <c:pt idx="1405">
                  <c:v>0.9756944444444412</c:v>
                </c:pt>
                <c:pt idx="1406">
                  <c:v>0.97638888888888564</c:v>
                </c:pt>
                <c:pt idx="1407">
                  <c:v>0.97708333333333008</c:v>
                </c:pt>
                <c:pt idx="1408">
                  <c:v>0.97777777777777453</c:v>
                </c:pt>
                <c:pt idx="1409">
                  <c:v>0.97847222222221897</c:v>
                </c:pt>
                <c:pt idx="1410">
                  <c:v>0.97916666666666341</c:v>
                </c:pt>
                <c:pt idx="1411">
                  <c:v>0.97986111111110785</c:v>
                </c:pt>
                <c:pt idx="1412">
                  <c:v>0.98055555555555229</c:v>
                </c:pt>
                <c:pt idx="1413">
                  <c:v>0.98124999999999674</c:v>
                </c:pt>
                <c:pt idx="1414">
                  <c:v>0.98194444444444118</c:v>
                </c:pt>
                <c:pt idx="1415">
                  <c:v>0.98263888888888562</c:v>
                </c:pt>
                <c:pt idx="1416">
                  <c:v>0.98333333333333006</c:v>
                </c:pt>
                <c:pt idx="1417">
                  <c:v>0.9840277777777745</c:v>
                </c:pt>
                <c:pt idx="1418">
                  <c:v>0.98472222222221895</c:v>
                </c:pt>
                <c:pt idx="1419">
                  <c:v>0.98541666666666339</c:v>
                </c:pt>
                <c:pt idx="1420">
                  <c:v>0.98611111111110783</c:v>
                </c:pt>
                <c:pt idx="1421">
                  <c:v>0.98680555555555227</c:v>
                </c:pt>
                <c:pt idx="1422">
                  <c:v>0.98749999999999671</c:v>
                </c:pt>
                <c:pt idx="1423">
                  <c:v>0.98819444444444116</c:v>
                </c:pt>
                <c:pt idx="1424">
                  <c:v>0.9888888888888856</c:v>
                </c:pt>
                <c:pt idx="1425">
                  <c:v>0.98958333333333004</c:v>
                </c:pt>
                <c:pt idx="1426">
                  <c:v>0.99027777777777448</c:v>
                </c:pt>
                <c:pt idx="1427">
                  <c:v>0.99097222222221892</c:v>
                </c:pt>
                <c:pt idx="1428">
                  <c:v>0.99166666666666337</c:v>
                </c:pt>
                <c:pt idx="1429">
                  <c:v>0.99236111111110781</c:v>
                </c:pt>
                <c:pt idx="1430">
                  <c:v>0.99305555555555225</c:v>
                </c:pt>
                <c:pt idx="1431">
                  <c:v>0.99374999999999669</c:v>
                </c:pt>
                <c:pt idx="1432">
                  <c:v>0.99444444444444113</c:v>
                </c:pt>
                <c:pt idx="1433">
                  <c:v>0.99513888888888558</c:v>
                </c:pt>
                <c:pt idx="1434">
                  <c:v>0.99583333333333002</c:v>
                </c:pt>
                <c:pt idx="1435">
                  <c:v>0.99652777777777446</c:v>
                </c:pt>
                <c:pt idx="1436">
                  <c:v>0.9972222222222189</c:v>
                </c:pt>
                <c:pt idx="1437">
                  <c:v>0.99791666666666334</c:v>
                </c:pt>
                <c:pt idx="1438">
                  <c:v>0.99861111111110779</c:v>
                </c:pt>
                <c:pt idx="1439">
                  <c:v>0.99930555555555223</c:v>
                </c:pt>
              </c:numCache>
            </c:numRef>
          </c:xVal>
          <c:yVal>
            <c:numRef>
              <c:f>'Light &amp; Temp Charts'!$E$12:$E$35</c:f>
              <c:numCache>
                <c:formatCode>General</c:formatCode>
                <c:ptCount val="24"/>
                <c:pt idx="1">
                  <c:v>56</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56</c:v>
                </c:pt>
                <c:pt idx="18">
                  <c:v>56</c:v>
                </c:pt>
              </c:numCache>
            </c:numRef>
          </c:yVal>
          <c:smooth val="1"/>
          <c:extLst>
            <c:ext xmlns:c16="http://schemas.microsoft.com/office/drawing/2014/chart" uri="{C3380CC4-5D6E-409C-BE32-E72D297353CC}">
              <c16:uniqueId val="{00000000-0220-4DBC-BA2B-9C1CA8C0E428}"/>
            </c:ext>
          </c:extLst>
        </c:ser>
        <c:ser>
          <c:idx val="2"/>
          <c:order val="1"/>
          <c:tx>
            <c:v>temp</c:v>
          </c:tx>
          <c:spPr>
            <a:ln w="12700" cap="flat" cmpd="sng" algn="ctr">
              <a:solidFill>
                <a:srgbClr val="FF0000"/>
              </a:solidFill>
              <a:round/>
            </a:ln>
            <a:effectLst/>
          </c:spPr>
          <c:marker>
            <c:symbol val="none"/>
          </c:marker>
          <c:xVal>
            <c:numRef>
              <c:f>'Full Data Array'!$BE$4:$BE$1443</c:f>
              <c:numCache>
                <c:formatCode>h:mm</c:formatCode>
                <c:ptCount val="1440"/>
                <c:pt idx="0">
                  <c:v>0</c:v>
                </c:pt>
                <c:pt idx="1">
                  <c:v>6.9444444444444447E-4</c:v>
                </c:pt>
                <c:pt idx="2">
                  <c:v>1.3888888888888889E-3</c:v>
                </c:pt>
                <c:pt idx="3">
                  <c:v>2.0833333333333333E-3</c:v>
                </c:pt>
                <c:pt idx="4">
                  <c:v>2.7777777777777779E-3</c:v>
                </c:pt>
                <c:pt idx="5">
                  <c:v>3.4722222222222225E-3</c:v>
                </c:pt>
                <c:pt idx="6">
                  <c:v>4.1666666666666666E-3</c:v>
                </c:pt>
                <c:pt idx="7">
                  <c:v>4.8611111111111112E-3</c:v>
                </c:pt>
                <c:pt idx="8">
                  <c:v>5.5555555555555558E-3</c:v>
                </c:pt>
                <c:pt idx="9">
                  <c:v>6.2500000000000003E-3</c:v>
                </c:pt>
                <c:pt idx="10">
                  <c:v>6.9444444444444449E-3</c:v>
                </c:pt>
                <c:pt idx="11">
                  <c:v>7.6388888888888895E-3</c:v>
                </c:pt>
                <c:pt idx="12">
                  <c:v>8.3333333333333332E-3</c:v>
                </c:pt>
                <c:pt idx="13">
                  <c:v>9.0277777777777769E-3</c:v>
                </c:pt>
                <c:pt idx="14">
                  <c:v>9.7222222222222206E-3</c:v>
                </c:pt>
                <c:pt idx="15">
                  <c:v>1.0416666666666664E-2</c:v>
                </c:pt>
                <c:pt idx="16">
                  <c:v>1.1111111111111108E-2</c:v>
                </c:pt>
                <c:pt idx="17">
                  <c:v>1.1805555555555552E-2</c:v>
                </c:pt>
                <c:pt idx="18">
                  <c:v>1.2499999999999995E-2</c:v>
                </c:pt>
                <c:pt idx="19">
                  <c:v>1.3194444444444439E-2</c:v>
                </c:pt>
                <c:pt idx="20">
                  <c:v>1.3888888888888883E-2</c:v>
                </c:pt>
                <c:pt idx="21">
                  <c:v>1.4583333333333327E-2</c:v>
                </c:pt>
                <c:pt idx="22">
                  <c:v>1.527777777777777E-2</c:v>
                </c:pt>
                <c:pt idx="23">
                  <c:v>1.5972222222222214E-2</c:v>
                </c:pt>
                <c:pt idx="24">
                  <c:v>1.6666666666666659E-2</c:v>
                </c:pt>
                <c:pt idx="25">
                  <c:v>1.7361111111111105E-2</c:v>
                </c:pt>
                <c:pt idx="26">
                  <c:v>1.805555555555555E-2</c:v>
                </c:pt>
                <c:pt idx="27">
                  <c:v>1.8749999999999996E-2</c:v>
                </c:pt>
                <c:pt idx="28">
                  <c:v>1.9444444444444441E-2</c:v>
                </c:pt>
                <c:pt idx="29">
                  <c:v>2.0138888888888887E-2</c:v>
                </c:pt>
                <c:pt idx="30">
                  <c:v>2.0833333333333332E-2</c:v>
                </c:pt>
                <c:pt idx="31">
                  <c:v>2.1527777777777778E-2</c:v>
                </c:pt>
                <c:pt idx="32">
                  <c:v>2.2222222222222223E-2</c:v>
                </c:pt>
                <c:pt idx="33">
                  <c:v>2.2916666666666669E-2</c:v>
                </c:pt>
                <c:pt idx="34">
                  <c:v>2.3611111111111114E-2</c:v>
                </c:pt>
                <c:pt idx="35">
                  <c:v>2.4305555555555559E-2</c:v>
                </c:pt>
                <c:pt idx="36">
                  <c:v>2.5000000000000005E-2</c:v>
                </c:pt>
                <c:pt idx="37">
                  <c:v>2.569444444444445E-2</c:v>
                </c:pt>
                <c:pt idx="38">
                  <c:v>2.6388888888888896E-2</c:v>
                </c:pt>
                <c:pt idx="39">
                  <c:v>2.7083333333333341E-2</c:v>
                </c:pt>
                <c:pt idx="40">
                  <c:v>2.7777777777777787E-2</c:v>
                </c:pt>
                <c:pt idx="41">
                  <c:v>2.8472222222222232E-2</c:v>
                </c:pt>
                <c:pt idx="42">
                  <c:v>2.9166666666666678E-2</c:v>
                </c:pt>
                <c:pt idx="43">
                  <c:v>2.9861111111111123E-2</c:v>
                </c:pt>
                <c:pt idx="44">
                  <c:v>3.0555555555555568E-2</c:v>
                </c:pt>
                <c:pt idx="45">
                  <c:v>3.1250000000000014E-2</c:v>
                </c:pt>
                <c:pt idx="46">
                  <c:v>3.1944444444444456E-2</c:v>
                </c:pt>
                <c:pt idx="47">
                  <c:v>3.2638888888888898E-2</c:v>
                </c:pt>
                <c:pt idx="48">
                  <c:v>3.333333333333334E-2</c:v>
                </c:pt>
                <c:pt idx="49">
                  <c:v>3.4027777777777782E-2</c:v>
                </c:pt>
                <c:pt idx="50">
                  <c:v>3.4722222222222224E-2</c:v>
                </c:pt>
                <c:pt idx="51">
                  <c:v>3.5416666666666666E-2</c:v>
                </c:pt>
                <c:pt idx="52">
                  <c:v>3.6111111111111108E-2</c:v>
                </c:pt>
                <c:pt idx="53">
                  <c:v>3.680555555555555E-2</c:v>
                </c:pt>
                <c:pt idx="54">
                  <c:v>3.7499999999999992E-2</c:v>
                </c:pt>
                <c:pt idx="55">
                  <c:v>3.8194444444444434E-2</c:v>
                </c:pt>
                <c:pt idx="56">
                  <c:v>3.8888888888888876E-2</c:v>
                </c:pt>
                <c:pt idx="57">
                  <c:v>3.9583333333333318E-2</c:v>
                </c:pt>
                <c:pt idx="58">
                  <c:v>4.027777777777776E-2</c:v>
                </c:pt>
                <c:pt idx="59">
                  <c:v>4.0972222222222202E-2</c:v>
                </c:pt>
                <c:pt idx="60">
                  <c:v>4.1666666666666644E-2</c:v>
                </c:pt>
                <c:pt idx="61">
                  <c:v>4.2361111111111086E-2</c:v>
                </c:pt>
                <c:pt idx="62">
                  <c:v>4.3055555555555527E-2</c:v>
                </c:pt>
                <c:pt idx="63">
                  <c:v>4.3749999999999969E-2</c:v>
                </c:pt>
                <c:pt idx="64">
                  <c:v>4.4444444444444411E-2</c:v>
                </c:pt>
                <c:pt idx="65">
                  <c:v>4.5138888888888853E-2</c:v>
                </c:pt>
                <c:pt idx="66">
                  <c:v>4.5833333333333295E-2</c:v>
                </c:pt>
                <c:pt idx="67">
                  <c:v>4.6527777777777737E-2</c:v>
                </c:pt>
                <c:pt idx="68">
                  <c:v>4.7222222222222179E-2</c:v>
                </c:pt>
                <c:pt idx="69">
                  <c:v>4.7916666666666621E-2</c:v>
                </c:pt>
                <c:pt idx="70">
                  <c:v>4.8611111111111063E-2</c:v>
                </c:pt>
                <c:pt idx="71">
                  <c:v>4.9305555555555505E-2</c:v>
                </c:pt>
                <c:pt idx="72">
                  <c:v>4.9999999999999947E-2</c:v>
                </c:pt>
                <c:pt idx="73">
                  <c:v>5.0694444444444389E-2</c:v>
                </c:pt>
                <c:pt idx="74">
                  <c:v>5.1388888888888831E-2</c:v>
                </c:pt>
                <c:pt idx="75">
                  <c:v>5.2083333333333273E-2</c:v>
                </c:pt>
                <c:pt idx="76">
                  <c:v>5.2777777777777715E-2</c:v>
                </c:pt>
                <c:pt idx="77">
                  <c:v>5.3472222222222157E-2</c:v>
                </c:pt>
                <c:pt idx="78">
                  <c:v>5.4166666666666599E-2</c:v>
                </c:pt>
                <c:pt idx="79">
                  <c:v>5.4861111111111041E-2</c:v>
                </c:pt>
                <c:pt idx="80">
                  <c:v>5.5555555555555483E-2</c:v>
                </c:pt>
                <c:pt idx="81">
                  <c:v>5.6249999999999925E-2</c:v>
                </c:pt>
                <c:pt idx="82">
                  <c:v>5.6944444444444367E-2</c:v>
                </c:pt>
                <c:pt idx="83">
                  <c:v>5.7638888888888809E-2</c:v>
                </c:pt>
                <c:pt idx="84">
                  <c:v>5.8333333333333251E-2</c:v>
                </c:pt>
                <c:pt idx="85">
                  <c:v>5.9027777777777693E-2</c:v>
                </c:pt>
                <c:pt idx="86">
                  <c:v>5.9722222222222135E-2</c:v>
                </c:pt>
                <c:pt idx="87">
                  <c:v>6.0416666666666577E-2</c:v>
                </c:pt>
                <c:pt idx="88">
                  <c:v>6.1111111111111019E-2</c:v>
                </c:pt>
                <c:pt idx="89">
                  <c:v>6.1805555555555461E-2</c:v>
                </c:pt>
                <c:pt idx="90">
                  <c:v>6.2499999999999903E-2</c:v>
                </c:pt>
                <c:pt idx="91">
                  <c:v>6.3194444444444345E-2</c:v>
                </c:pt>
                <c:pt idx="92">
                  <c:v>6.3888888888888787E-2</c:v>
                </c:pt>
                <c:pt idx="93">
                  <c:v>6.4583333333333229E-2</c:v>
                </c:pt>
                <c:pt idx="94">
                  <c:v>6.5277777777777671E-2</c:v>
                </c:pt>
                <c:pt idx="95">
                  <c:v>6.5972222222222113E-2</c:v>
                </c:pt>
                <c:pt idx="96">
                  <c:v>6.6666666666666555E-2</c:v>
                </c:pt>
                <c:pt idx="97">
                  <c:v>6.7361111111110997E-2</c:v>
                </c:pt>
                <c:pt idx="98">
                  <c:v>6.8055555555555439E-2</c:v>
                </c:pt>
                <c:pt idx="99">
                  <c:v>6.8749999999999881E-2</c:v>
                </c:pt>
                <c:pt idx="100">
                  <c:v>6.9444444444444323E-2</c:v>
                </c:pt>
                <c:pt idx="101">
                  <c:v>7.0138888888888765E-2</c:v>
                </c:pt>
                <c:pt idx="102">
                  <c:v>7.0833333333333207E-2</c:v>
                </c:pt>
                <c:pt idx="103">
                  <c:v>7.1527777777777649E-2</c:v>
                </c:pt>
                <c:pt idx="104">
                  <c:v>7.2222222222222091E-2</c:v>
                </c:pt>
                <c:pt idx="105">
                  <c:v>7.2916666666666533E-2</c:v>
                </c:pt>
                <c:pt idx="106">
                  <c:v>7.3611111111110974E-2</c:v>
                </c:pt>
                <c:pt idx="107">
                  <c:v>7.4305555555555416E-2</c:v>
                </c:pt>
                <c:pt idx="108">
                  <c:v>7.4999999999999858E-2</c:v>
                </c:pt>
                <c:pt idx="109">
                  <c:v>7.56944444444443E-2</c:v>
                </c:pt>
                <c:pt idx="110">
                  <c:v>7.6388888888888742E-2</c:v>
                </c:pt>
                <c:pt idx="111">
                  <c:v>7.7083333333333184E-2</c:v>
                </c:pt>
                <c:pt idx="112">
                  <c:v>7.7777777777777626E-2</c:v>
                </c:pt>
                <c:pt idx="113">
                  <c:v>7.8472222222222068E-2</c:v>
                </c:pt>
                <c:pt idx="114">
                  <c:v>7.916666666666651E-2</c:v>
                </c:pt>
                <c:pt idx="115">
                  <c:v>7.9861111111110952E-2</c:v>
                </c:pt>
                <c:pt idx="116">
                  <c:v>8.0555555555555394E-2</c:v>
                </c:pt>
                <c:pt idx="117">
                  <c:v>8.1249999999999836E-2</c:v>
                </c:pt>
                <c:pt idx="118">
                  <c:v>8.1944444444444278E-2</c:v>
                </c:pt>
                <c:pt idx="119">
                  <c:v>8.263888888888872E-2</c:v>
                </c:pt>
                <c:pt idx="120">
                  <c:v>8.3333333333333162E-2</c:v>
                </c:pt>
                <c:pt idx="121">
                  <c:v>8.4027777777777604E-2</c:v>
                </c:pt>
                <c:pt idx="122">
                  <c:v>8.4722222222222046E-2</c:v>
                </c:pt>
                <c:pt idx="123">
                  <c:v>8.5416666666666488E-2</c:v>
                </c:pt>
                <c:pt idx="124">
                  <c:v>8.611111111111093E-2</c:v>
                </c:pt>
                <c:pt idx="125">
                  <c:v>8.6805555555555372E-2</c:v>
                </c:pt>
                <c:pt idx="126">
                  <c:v>8.7499999999999814E-2</c:v>
                </c:pt>
                <c:pt idx="127">
                  <c:v>8.8194444444444256E-2</c:v>
                </c:pt>
                <c:pt idx="128">
                  <c:v>8.8888888888888698E-2</c:v>
                </c:pt>
                <c:pt idx="129">
                  <c:v>8.958333333333314E-2</c:v>
                </c:pt>
                <c:pt idx="130">
                  <c:v>9.0277777777777582E-2</c:v>
                </c:pt>
                <c:pt idx="131">
                  <c:v>9.0972222222222024E-2</c:v>
                </c:pt>
                <c:pt idx="132">
                  <c:v>9.1666666666666466E-2</c:v>
                </c:pt>
                <c:pt idx="133">
                  <c:v>9.2361111111110908E-2</c:v>
                </c:pt>
                <c:pt idx="134">
                  <c:v>9.305555555555535E-2</c:v>
                </c:pt>
                <c:pt idx="135">
                  <c:v>9.3749999999999792E-2</c:v>
                </c:pt>
                <c:pt idx="136">
                  <c:v>9.4444444444444234E-2</c:v>
                </c:pt>
                <c:pt idx="137">
                  <c:v>9.5138888888888676E-2</c:v>
                </c:pt>
                <c:pt idx="138">
                  <c:v>9.5833333333333118E-2</c:v>
                </c:pt>
                <c:pt idx="139">
                  <c:v>9.652777777777756E-2</c:v>
                </c:pt>
                <c:pt idx="140">
                  <c:v>9.7222222222222002E-2</c:v>
                </c:pt>
                <c:pt idx="141">
                  <c:v>9.7916666666666444E-2</c:v>
                </c:pt>
                <c:pt idx="142">
                  <c:v>9.8611111111110886E-2</c:v>
                </c:pt>
                <c:pt idx="143">
                  <c:v>9.9305555555555328E-2</c:v>
                </c:pt>
                <c:pt idx="144">
                  <c:v>9.999999999999977E-2</c:v>
                </c:pt>
                <c:pt idx="145">
                  <c:v>0.10069444444444421</c:v>
                </c:pt>
                <c:pt idx="146">
                  <c:v>0.10138888888888865</c:v>
                </c:pt>
                <c:pt idx="147">
                  <c:v>0.1020833333333331</c:v>
                </c:pt>
                <c:pt idx="148">
                  <c:v>0.10277777777777754</c:v>
                </c:pt>
                <c:pt idx="149">
                  <c:v>0.10347222222222198</c:v>
                </c:pt>
                <c:pt idx="150">
                  <c:v>0.10416666666666642</c:v>
                </c:pt>
                <c:pt idx="151">
                  <c:v>0.10486111111111086</c:v>
                </c:pt>
                <c:pt idx="152">
                  <c:v>0.10555555555555531</c:v>
                </c:pt>
                <c:pt idx="153">
                  <c:v>0.10624999999999975</c:v>
                </c:pt>
                <c:pt idx="154">
                  <c:v>0.10694444444444419</c:v>
                </c:pt>
                <c:pt idx="155">
                  <c:v>0.10763888888888863</c:v>
                </c:pt>
                <c:pt idx="156">
                  <c:v>0.10833333333333307</c:v>
                </c:pt>
                <c:pt idx="157">
                  <c:v>0.10902777777777752</c:v>
                </c:pt>
                <c:pt idx="158">
                  <c:v>0.10972222222222196</c:v>
                </c:pt>
                <c:pt idx="159">
                  <c:v>0.1104166666666664</c:v>
                </c:pt>
                <c:pt idx="160">
                  <c:v>0.11111111111111084</c:v>
                </c:pt>
                <c:pt idx="161">
                  <c:v>0.11180555555555528</c:v>
                </c:pt>
                <c:pt idx="162">
                  <c:v>0.11249999999999973</c:v>
                </c:pt>
                <c:pt idx="163">
                  <c:v>0.11319444444444417</c:v>
                </c:pt>
                <c:pt idx="164">
                  <c:v>0.11388888888888861</c:v>
                </c:pt>
                <c:pt idx="165">
                  <c:v>0.11458333333333305</c:v>
                </c:pt>
                <c:pt idx="166">
                  <c:v>0.11527777777777749</c:v>
                </c:pt>
                <c:pt idx="167">
                  <c:v>0.11597222222222194</c:v>
                </c:pt>
                <c:pt idx="168">
                  <c:v>0.11666666666666638</c:v>
                </c:pt>
                <c:pt idx="169">
                  <c:v>0.11736111111111082</c:v>
                </c:pt>
                <c:pt idx="170">
                  <c:v>0.11805555555555526</c:v>
                </c:pt>
                <c:pt idx="171">
                  <c:v>0.1187499999999997</c:v>
                </c:pt>
                <c:pt idx="172">
                  <c:v>0.11944444444444414</c:v>
                </c:pt>
                <c:pt idx="173">
                  <c:v>0.12013888888888859</c:v>
                </c:pt>
                <c:pt idx="174">
                  <c:v>0.12083333333333303</c:v>
                </c:pt>
                <c:pt idx="175">
                  <c:v>0.12152777777777747</c:v>
                </c:pt>
                <c:pt idx="176">
                  <c:v>0.12222222222222191</c:v>
                </c:pt>
                <c:pt idx="177">
                  <c:v>0.12291666666666635</c:v>
                </c:pt>
                <c:pt idx="178">
                  <c:v>0.1236111111111108</c:v>
                </c:pt>
                <c:pt idx="179">
                  <c:v>0.12430555555555524</c:v>
                </c:pt>
                <c:pt idx="180">
                  <c:v>0.12499999999999968</c:v>
                </c:pt>
                <c:pt idx="181">
                  <c:v>0.12569444444444414</c:v>
                </c:pt>
                <c:pt idx="182">
                  <c:v>0.12638888888888858</c:v>
                </c:pt>
                <c:pt idx="183">
                  <c:v>0.12708333333333302</c:v>
                </c:pt>
                <c:pt idx="184">
                  <c:v>0.12777777777777746</c:v>
                </c:pt>
                <c:pt idx="185">
                  <c:v>0.1284722222222219</c:v>
                </c:pt>
                <c:pt idx="186">
                  <c:v>0.12916666666666635</c:v>
                </c:pt>
                <c:pt idx="187">
                  <c:v>0.12986111111111079</c:v>
                </c:pt>
                <c:pt idx="188">
                  <c:v>0.13055555555555523</c:v>
                </c:pt>
                <c:pt idx="189">
                  <c:v>0.13124999999999967</c:v>
                </c:pt>
                <c:pt idx="190">
                  <c:v>0.13194444444444411</c:v>
                </c:pt>
                <c:pt idx="191">
                  <c:v>0.13263888888888856</c:v>
                </c:pt>
                <c:pt idx="192">
                  <c:v>0.133333333333333</c:v>
                </c:pt>
                <c:pt idx="193">
                  <c:v>0.13402777777777744</c:v>
                </c:pt>
                <c:pt idx="194">
                  <c:v>0.13472222222222188</c:v>
                </c:pt>
                <c:pt idx="195">
                  <c:v>0.13541666666666632</c:v>
                </c:pt>
                <c:pt idx="196">
                  <c:v>0.13611111111111077</c:v>
                </c:pt>
                <c:pt idx="197">
                  <c:v>0.13680555555555521</c:v>
                </c:pt>
                <c:pt idx="198">
                  <c:v>0.13749999999999965</c:v>
                </c:pt>
                <c:pt idx="199">
                  <c:v>0.13819444444444409</c:v>
                </c:pt>
                <c:pt idx="200">
                  <c:v>0.13888888888888853</c:v>
                </c:pt>
                <c:pt idx="201">
                  <c:v>0.13958333333333298</c:v>
                </c:pt>
                <c:pt idx="202">
                  <c:v>0.14027777777777742</c:v>
                </c:pt>
                <c:pt idx="203">
                  <c:v>0.14097222222222186</c:v>
                </c:pt>
                <c:pt idx="204">
                  <c:v>0.1416666666666663</c:v>
                </c:pt>
                <c:pt idx="205">
                  <c:v>0.14236111111111074</c:v>
                </c:pt>
                <c:pt idx="206">
                  <c:v>0.14305555555555519</c:v>
                </c:pt>
                <c:pt idx="207">
                  <c:v>0.14374999999999963</c:v>
                </c:pt>
                <c:pt idx="208">
                  <c:v>0.14444444444444407</c:v>
                </c:pt>
                <c:pt idx="209">
                  <c:v>0.14513888888888851</c:v>
                </c:pt>
                <c:pt idx="210">
                  <c:v>0.14583333333333295</c:v>
                </c:pt>
                <c:pt idx="211">
                  <c:v>0.1465277777777774</c:v>
                </c:pt>
                <c:pt idx="212">
                  <c:v>0.14722222222222184</c:v>
                </c:pt>
                <c:pt idx="213">
                  <c:v>0.14791666666666628</c:v>
                </c:pt>
                <c:pt idx="214">
                  <c:v>0.14861111111111072</c:v>
                </c:pt>
                <c:pt idx="215">
                  <c:v>0.14930555555555516</c:v>
                </c:pt>
                <c:pt idx="216">
                  <c:v>0.14999999999999961</c:v>
                </c:pt>
                <c:pt idx="217">
                  <c:v>0.15069444444444405</c:v>
                </c:pt>
                <c:pt idx="218">
                  <c:v>0.15138888888888849</c:v>
                </c:pt>
                <c:pt idx="219">
                  <c:v>0.15208333333333293</c:v>
                </c:pt>
                <c:pt idx="220">
                  <c:v>0.15277777777777737</c:v>
                </c:pt>
                <c:pt idx="221">
                  <c:v>0.15347222222222182</c:v>
                </c:pt>
                <c:pt idx="222">
                  <c:v>0.15416666666666626</c:v>
                </c:pt>
                <c:pt idx="223">
                  <c:v>0.1548611111111107</c:v>
                </c:pt>
                <c:pt idx="224">
                  <c:v>0.15555555555555514</c:v>
                </c:pt>
                <c:pt idx="225">
                  <c:v>0.15624999999999958</c:v>
                </c:pt>
                <c:pt idx="226">
                  <c:v>0.15694444444444403</c:v>
                </c:pt>
                <c:pt idx="227">
                  <c:v>0.15763888888888847</c:v>
                </c:pt>
                <c:pt idx="228">
                  <c:v>0.15833333333333291</c:v>
                </c:pt>
                <c:pt idx="229">
                  <c:v>0.15902777777777735</c:v>
                </c:pt>
                <c:pt idx="230">
                  <c:v>0.15972222222222179</c:v>
                </c:pt>
                <c:pt idx="231">
                  <c:v>0.16041666666666624</c:v>
                </c:pt>
                <c:pt idx="232">
                  <c:v>0.16111111111111068</c:v>
                </c:pt>
                <c:pt idx="233">
                  <c:v>0.16180555555555512</c:v>
                </c:pt>
                <c:pt idx="234">
                  <c:v>0.16249999999999956</c:v>
                </c:pt>
                <c:pt idx="235">
                  <c:v>0.163194444444444</c:v>
                </c:pt>
                <c:pt idx="236">
                  <c:v>0.16388888888888845</c:v>
                </c:pt>
                <c:pt idx="237">
                  <c:v>0.16458333333333289</c:v>
                </c:pt>
                <c:pt idx="238">
                  <c:v>0.16527777777777733</c:v>
                </c:pt>
                <c:pt idx="239">
                  <c:v>0.16597222222222177</c:v>
                </c:pt>
                <c:pt idx="240">
                  <c:v>0.16666666666666621</c:v>
                </c:pt>
                <c:pt idx="241">
                  <c:v>0.16736111111111066</c:v>
                </c:pt>
                <c:pt idx="242">
                  <c:v>0.1680555555555551</c:v>
                </c:pt>
                <c:pt idx="243">
                  <c:v>0.16874999999999954</c:v>
                </c:pt>
                <c:pt idx="244">
                  <c:v>0.16944444444444398</c:v>
                </c:pt>
                <c:pt idx="245">
                  <c:v>0.17013888888888842</c:v>
                </c:pt>
                <c:pt idx="246">
                  <c:v>0.17083333333333287</c:v>
                </c:pt>
                <c:pt idx="247">
                  <c:v>0.17152777777777731</c:v>
                </c:pt>
                <c:pt idx="248">
                  <c:v>0.17222222222222175</c:v>
                </c:pt>
                <c:pt idx="249">
                  <c:v>0.17291666666666619</c:v>
                </c:pt>
                <c:pt idx="250">
                  <c:v>0.17361111111111063</c:v>
                </c:pt>
                <c:pt idx="251">
                  <c:v>0.17430555555555508</c:v>
                </c:pt>
                <c:pt idx="252">
                  <c:v>0.17499999999999952</c:v>
                </c:pt>
                <c:pt idx="253">
                  <c:v>0.17569444444444396</c:v>
                </c:pt>
                <c:pt idx="254">
                  <c:v>0.1763888888888884</c:v>
                </c:pt>
                <c:pt idx="255">
                  <c:v>0.17708333333333284</c:v>
                </c:pt>
                <c:pt idx="256">
                  <c:v>0.17777777777777728</c:v>
                </c:pt>
                <c:pt idx="257">
                  <c:v>0.17847222222222173</c:v>
                </c:pt>
                <c:pt idx="258">
                  <c:v>0.17916666666666617</c:v>
                </c:pt>
                <c:pt idx="259">
                  <c:v>0.17986111111111061</c:v>
                </c:pt>
                <c:pt idx="260">
                  <c:v>0.18055555555555505</c:v>
                </c:pt>
                <c:pt idx="261">
                  <c:v>0.18124999999999949</c:v>
                </c:pt>
                <c:pt idx="262">
                  <c:v>0.18194444444444394</c:v>
                </c:pt>
                <c:pt idx="263">
                  <c:v>0.18263888888888838</c:v>
                </c:pt>
                <c:pt idx="264">
                  <c:v>0.18333333333333282</c:v>
                </c:pt>
                <c:pt idx="265">
                  <c:v>0.18402777777777726</c:v>
                </c:pt>
                <c:pt idx="266">
                  <c:v>0.1847222222222217</c:v>
                </c:pt>
                <c:pt idx="267">
                  <c:v>0.18541666666666615</c:v>
                </c:pt>
                <c:pt idx="268">
                  <c:v>0.18611111111111059</c:v>
                </c:pt>
                <c:pt idx="269">
                  <c:v>0.18680555555555503</c:v>
                </c:pt>
                <c:pt idx="270">
                  <c:v>0.18749999999999947</c:v>
                </c:pt>
                <c:pt idx="271">
                  <c:v>0.18819444444444391</c:v>
                </c:pt>
                <c:pt idx="272">
                  <c:v>0.18888888888888836</c:v>
                </c:pt>
                <c:pt idx="273">
                  <c:v>0.1895833333333328</c:v>
                </c:pt>
                <c:pt idx="274">
                  <c:v>0.19027777777777724</c:v>
                </c:pt>
                <c:pt idx="275">
                  <c:v>0.19097222222222168</c:v>
                </c:pt>
                <c:pt idx="276">
                  <c:v>0.19166666666666612</c:v>
                </c:pt>
                <c:pt idx="277">
                  <c:v>0.19236111111111057</c:v>
                </c:pt>
                <c:pt idx="278">
                  <c:v>0.19305555555555501</c:v>
                </c:pt>
                <c:pt idx="279">
                  <c:v>0.19374999999999945</c:v>
                </c:pt>
                <c:pt idx="280">
                  <c:v>0.19444444444444389</c:v>
                </c:pt>
                <c:pt idx="281">
                  <c:v>0.19513888888888833</c:v>
                </c:pt>
                <c:pt idx="282">
                  <c:v>0.19583333333333278</c:v>
                </c:pt>
                <c:pt idx="283">
                  <c:v>0.19652777777777722</c:v>
                </c:pt>
                <c:pt idx="284">
                  <c:v>0.19722222222222166</c:v>
                </c:pt>
                <c:pt idx="285">
                  <c:v>0.1979166666666661</c:v>
                </c:pt>
                <c:pt idx="286">
                  <c:v>0.19861111111111054</c:v>
                </c:pt>
                <c:pt idx="287">
                  <c:v>0.19930555555555499</c:v>
                </c:pt>
                <c:pt idx="288">
                  <c:v>0.19999999999999943</c:v>
                </c:pt>
                <c:pt idx="289">
                  <c:v>0.20069444444444387</c:v>
                </c:pt>
                <c:pt idx="290">
                  <c:v>0.20138888888888831</c:v>
                </c:pt>
                <c:pt idx="291">
                  <c:v>0.20208333333333275</c:v>
                </c:pt>
                <c:pt idx="292">
                  <c:v>0.2027777777777772</c:v>
                </c:pt>
                <c:pt idx="293">
                  <c:v>0.20347222222222164</c:v>
                </c:pt>
                <c:pt idx="294">
                  <c:v>0.20416666666666608</c:v>
                </c:pt>
                <c:pt idx="295">
                  <c:v>0.20486111111111052</c:v>
                </c:pt>
                <c:pt idx="296">
                  <c:v>0.20555555555555496</c:v>
                </c:pt>
                <c:pt idx="297">
                  <c:v>0.20624999999999941</c:v>
                </c:pt>
                <c:pt idx="298">
                  <c:v>0.20694444444444385</c:v>
                </c:pt>
                <c:pt idx="299">
                  <c:v>0.20763888888888829</c:v>
                </c:pt>
                <c:pt idx="300">
                  <c:v>0.20833333333333273</c:v>
                </c:pt>
                <c:pt idx="301">
                  <c:v>0.20902777777777717</c:v>
                </c:pt>
                <c:pt idx="302">
                  <c:v>0.20972222222222162</c:v>
                </c:pt>
                <c:pt idx="303">
                  <c:v>0.21041666666666606</c:v>
                </c:pt>
                <c:pt idx="304">
                  <c:v>0.2111111111111105</c:v>
                </c:pt>
                <c:pt idx="305">
                  <c:v>0.21180555555555494</c:v>
                </c:pt>
                <c:pt idx="306">
                  <c:v>0.21249999999999938</c:v>
                </c:pt>
                <c:pt idx="307">
                  <c:v>0.21319444444444383</c:v>
                </c:pt>
                <c:pt idx="308">
                  <c:v>0.21388888888888827</c:v>
                </c:pt>
                <c:pt idx="309">
                  <c:v>0.21458333333333271</c:v>
                </c:pt>
                <c:pt idx="310">
                  <c:v>0.21527777777777715</c:v>
                </c:pt>
                <c:pt idx="311">
                  <c:v>0.21597222222222159</c:v>
                </c:pt>
                <c:pt idx="312">
                  <c:v>0.21666666666666604</c:v>
                </c:pt>
                <c:pt idx="313">
                  <c:v>0.21736111111111048</c:v>
                </c:pt>
                <c:pt idx="314">
                  <c:v>0.21805555555555492</c:v>
                </c:pt>
                <c:pt idx="315">
                  <c:v>0.21874999999999936</c:v>
                </c:pt>
                <c:pt idx="316">
                  <c:v>0.2194444444444438</c:v>
                </c:pt>
                <c:pt idx="317">
                  <c:v>0.22013888888888825</c:v>
                </c:pt>
                <c:pt idx="318">
                  <c:v>0.22083333333333269</c:v>
                </c:pt>
                <c:pt idx="319">
                  <c:v>0.22152777777777713</c:v>
                </c:pt>
                <c:pt idx="320">
                  <c:v>0.22222222222222157</c:v>
                </c:pt>
                <c:pt idx="321">
                  <c:v>0.22291666666666601</c:v>
                </c:pt>
                <c:pt idx="322">
                  <c:v>0.22361111111111046</c:v>
                </c:pt>
                <c:pt idx="323">
                  <c:v>0.2243055555555549</c:v>
                </c:pt>
                <c:pt idx="324">
                  <c:v>0.22499999999999934</c:v>
                </c:pt>
                <c:pt idx="325">
                  <c:v>0.22569444444444378</c:v>
                </c:pt>
                <c:pt idx="326">
                  <c:v>0.22638888888888822</c:v>
                </c:pt>
                <c:pt idx="327">
                  <c:v>0.22708333333333267</c:v>
                </c:pt>
                <c:pt idx="328">
                  <c:v>0.22777777777777711</c:v>
                </c:pt>
                <c:pt idx="329">
                  <c:v>0.22847222222222155</c:v>
                </c:pt>
                <c:pt idx="330">
                  <c:v>0.22916666666666599</c:v>
                </c:pt>
                <c:pt idx="331">
                  <c:v>0.22986111111111043</c:v>
                </c:pt>
                <c:pt idx="332">
                  <c:v>0.23055555555555488</c:v>
                </c:pt>
                <c:pt idx="333">
                  <c:v>0.23124999999999932</c:v>
                </c:pt>
                <c:pt idx="334">
                  <c:v>0.23194444444444376</c:v>
                </c:pt>
                <c:pt idx="335">
                  <c:v>0.2326388888888882</c:v>
                </c:pt>
                <c:pt idx="336">
                  <c:v>0.23333333333333264</c:v>
                </c:pt>
                <c:pt idx="337">
                  <c:v>0.23402777777777709</c:v>
                </c:pt>
                <c:pt idx="338">
                  <c:v>0.23472222222222153</c:v>
                </c:pt>
                <c:pt idx="339">
                  <c:v>0.23541666666666597</c:v>
                </c:pt>
                <c:pt idx="340">
                  <c:v>0.23611111111111041</c:v>
                </c:pt>
                <c:pt idx="341">
                  <c:v>0.23680555555555485</c:v>
                </c:pt>
                <c:pt idx="342">
                  <c:v>0.2374999999999993</c:v>
                </c:pt>
                <c:pt idx="343">
                  <c:v>0.23819444444444374</c:v>
                </c:pt>
                <c:pt idx="344">
                  <c:v>0.23888888888888818</c:v>
                </c:pt>
                <c:pt idx="345">
                  <c:v>0.23958333333333262</c:v>
                </c:pt>
                <c:pt idx="346">
                  <c:v>0.24027777777777706</c:v>
                </c:pt>
                <c:pt idx="347">
                  <c:v>0.2409722222222215</c:v>
                </c:pt>
                <c:pt idx="348">
                  <c:v>0.24166666666666595</c:v>
                </c:pt>
                <c:pt idx="349">
                  <c:v>0.24236111111111039</c:v>
                </c:pt>
                <c:pt idx="350">
                  <c:v>0.24305555555555483</c:v>
                </c:pt>
                <c:pt idx="351">
                  <c:v>0.24374999999999927</c:v>
                </c:pt>
                <c:pt idx="352">
                  <c:v>0.24444444444444371</c:v>
                </c:pt>
                <c:pt idx="353">
                  <c:v>0.24513888888888816</c:v>
                </c:pt>
                <c:pt idx="354">
                  <c:v>0.2458333333333326</c:v>
                </c:pt>
                <c:pt idx="355">
                  <c:v>0.24652777777777704</c:v>
                </c:pt>
                <c:pt idx="356">
                  <c:v>0.24722222222222148</c:v>
                </c:pt>
                <c:pt idx="357">
                  <c:v>0.24791666666666592</c:v>
                </c:pt>
                <c:pt idx="358">
                  <c:v>0.24861111111111037</c:v>
                </c:pt>
                <c:pt idx="359">
                  <c:v>0.24930555555555481</c:v>
                </c:pt>
                <c:pt idx="360">
                  <c:v>0.24999999999999925</c:v>
                </c:pt>
                <c:pt idx="361">
                  <c:v>0.25069444444444372</c:v>
                </c:pt>
                <c:pt idx="362">
                  <c:v>0.25138888888888816</c:v>
                </c:pt>
                <c:pt idx="363">
                  <c:v>0.2520833333333326</c:v>
                </c:pt>
                <c:pt idx="364">
                  <c:v>0.25277777777777705</c:v>
                </c:pt>
                <c:pt idx="365">
                  <c:v>0.25347222222222149</c:v>
                </c:pt>
                <c:pt idx="366">
                  <c:v>0.25416666666666593</c:v>
                </c:pt>
                <c:pt idx="367">
                  <c:v>0.25486111111111037</c:v>
                </c:pt>
                <c:pt idx="368">
                  <c:v>0.25555555555555481</c:v>
                </c:pt>
                <c:pt idx="369">
                  <c:v>0.25624999999999926</c:v>
                </c:pt>
                <c:pt idx="370">
                  <c:v>0.2569444444444437</c:v>
                </c:pt>
                <c:pt idx="371">
                  <c:v>0.25763888888888814</c:v>
                </c:pt>
                <c:pt idx="372">
                  <c:v>0.25833333333333258</c:v>
                </c:pt>
                <c:pt idx="373">
                  <c:v>0.25902777777777702</c:v>
                </c:pt>
                <c:pt idx="374">
                  <c:v>0.25972222222222147</c:v>
                </c:pt>
                <c:pt idx="375">
                  <c:v>0.26041666666666591</c:v>
                </c:pt>
                <c:pt idx="376">
                  <c:v>0.26111111111111035</c:v>
                </c:pt>
                <c:pt idx="377">
                  <c:v>0.26180555555555479</c:v>
                </c:pt>
                <c:pt idx="378">
                  <c:v>0.26249999999999923</c:v>
                </c:pt>
                <c:pt idx="379">
                  <c:v>0.26319444444444368</c:v>
                </c:pt>
                <c:pt idx="380">
                  <c:v>0.26388888888888812</c:v>
                </c:pt>
                <c:pt idx="381">
                  <c:v>0.26458333333333256</c:v>
                </c:pt>
                <c:pt idx="382">
                  <c:v>0.265277777777777</c:v>
                </c:pt>
                <c:pt idx="383">
                  <c:v>0.26597222222222144</c:v>
                </c:pt>
                <c:pt idx="384">
                  <c:v>0.26666666666666589</c:v>
                </c:pt>
                <c:pt idx="385">
                  <c:v>0.26736111111111033</c:v>
                </c:pt>
                <c:pt idx="386">
                  <c:v>0.26805555555555477</c:v>
                </c:pt>
                <c:pt idx="387">
                  <c:v>0.26874999999999921</c:v>
                </c:pt>
                <c:pt idx="388">
                  <c:v>0.26944444444444365</c:v>
                </c:pt>
                <c:pt idx="389">
                  <c:v>0.2701388888888881</c:v>
                </c:pt>
                <c:pt idx="390">
                  <c:v>0.27083333333333254</c:v>
                </c:pt>
                <c:pt idx="391">
                  <c:v>0.27152777777777698</c:v>
                </c:pt>
                <c:pt idx="392">
                  <c:v>0.27222222222222142</c:v>
                </c:pt>
                <c:pt idx="393">
                  <c:v>0.27291666666666586</c:v>
                </c:pt>
                <c:pt idx="394">
                  <c:v>0.27361111111111031</c:v>
                </c:pt>
                <c:pt idx="395">
                  <c:v>0.27430555555555475</c:v>
                </c:pt>
                <c:pt idx="396">
                  <c:v>0.27499999999999919</c:v>
                </c:pt>
                <c:pt idx="397">
                  <c:v>0.27569444444444363</c:v>
                </c:pt>
                <c:pt idx="398">
                  <c:v>0.27638888888888807</c:v>
                </c:pt>
                <c:pt idx="399">
                  <c:v>0.27708333333333252</c:v>
                </c:pt>
                <c:pt idx="400">
                  <c:v>0.27777777777777696</c:v>
                </c:pt>
                <c:pt idx="401">
                  <c:v>0.2784722222222214</c:v>
                </c:pt>
                <c:pt idx="402">
                  <c:v>0.27916666666666584</c:v>
                </c:pt>
                <c:pt idx="403">
                  <c:v>0.27986111111111028</c:v>
                </c:pt>
                <c:pt idx="404">
                  <c:v>0.28055555555555473</c:v>
                </c:pt>
                <c:pt idx="405">
                  <c:v>0.28124999999999917</c:v>
                </c:pt>
                <c:pt idx="406">
                  <c:v>0.28194444444444361</c:v>
                </c:pt>
                <c:pt idx="407">
                  <c:v>0.28263888888888805</c:v>
                </c:pt>
                <c:pt idx="408">
                  <c:v>0.28333333333333249</c:v>
                </c:pt>
                <c:pt idx="409">
                  <c:v>0.28402777777777694</c:v>
                </c:pt>
                <c:pt idx="410">
                  <c:v>0.28472222222222138</c:v>
                </c:pt>
                <c:pt idx="411">
                  <c:v>0.28541666666666582</c:v>
                </c:pt>
                <c:pt idx="412">
                  <c:v>0.28611111111111026</c:v>
                </c:pt>
                <c:pt idx="413">
                  <c:v>0.2868055555555547</c:v>
                </c:pt>
                <c:pt idx="414">
                  <c:v>0.28749999999999915</c:v>
                </c:pt>
                <c:pt idx="415">
                  <c:v>0.28819444444444359</c:v>
                </c:pt>
                <c:pt idx="416">
                  <c:v>0.28888888888888803</c:v>
                </c:pt>
                <c:pt idx="417">
                  <c:v>0.28958333333333247</c:v>
                </c:pt>
                <c:pt idx="418">
                  <c:v>0.29027777777777691</c:v>
                </c:pt>
                <c:pt idx="419">
                  <c:v>0.29097222222222136</c:v>
                </c:pt>
                <c:pt idx="420">
                  <c:v>0.2916666666666658</c:v>
                </c:pt>
                <c:pt idx="421">
                  <c:v>0.29236111111111024</c:v>
                </c:pt>
                <c:pt idx="422">
                  <c:v>0.29305555555555468</c:v>
                </c:pt>
                <c:pt idx="423">
                  <c:v>0.29374999999999912</c:v>
                </c:pt>
                <c:pt idx="424">
                  <c:v>0.29444444444444356</c:v>
                </c:pt>
                <c:pt idx="425">
                  <c:v>0.29513888888888801</c:v>
                </c:pt>
                <c:pt idx="426">
                  <c:v>0.29583333333333245</c:v>
                </c:pt>
                <c:pt idx="427">
                  <c:v>0.29652777777777689</c:v>
                </c:pt>
                <c:pt idx="428">
                  <c:v>0.29722222222222133</c:v>
                </c:pt>
                <c:pt idx="429">
                  <c:v>0.29791666666666577</c:v>
                </c:pt>
                <c:pt idx="430">
                  <c:v>0.29861111111111022</c:v>
                </c:pt>
                <c:pt idx="431">
                  <c:v>0.29930555555555466</c:v>
                </c:pt>
                <c:pt idx="432">
                  <c:v>0.2999999999999991</c:v>
                </c:pt>
                <c:pt idx="433">
                  <c:v>0.30069444444444354</c:v>
                </c:pt>
                <c:pt idx="434">
                  <c:v>0.30138888888888798</c:v>
                </c:pt>
                <c:pt idx="435">
                  <c:v>0.30208333333333243</c:v>
                </c:pt>
                <c:pt idx="436">
                  <c:v>0.30277777777777687</c:v>
                </c:pt>
                <c:pt idx="437">
                  <c:v>0.30347222222222131</c:v>
                </c:pt>
                <c:pt idx="438">
                  <c:v>0.30416666666666575</c:v>
                </c:pt>
                <c:pt idx="439">
                  <c:v>0.30486111111111019</c:v>
                </c:pt>
                <c:pt idx="440">
                  <c:v>0.30555555555555464</c:v>
                </c:pt>
                <c:pt idx="441">
                  <c:v>0.30624999999999908</c:v>
                </c:pt>
                <c:pt idx="442">
                  <c:v>0.30694444444444352</c:v>
                </c:pt>
                <c:pt idx="443">
                  <c:v>0.30763888888888796</c:v>
                </c:pt>
                <c:pt idx="444">
                  <c:v>0.3083333333333324</c:v>
                </c:pt>
                <c:pt idx="445">
                  <c:v>0.30902777777777685</c:v>
                </c:pt>
                <c:pt idx="446">
                  <c:v>0.30972222222222129</c:v>
                </c:pt>
                <c:pt idx="447">
                  <c:v>0.31041666666666573</c:v>
                </c:pt>
                <c:pt idx="448">
                  <c:v>0.31111111111111017</c:v>
                </c:pt>
                <c:pt idx="449">
                  <c:v>0.31180555555555461</c:v>
                </c:pt>
                <c:pt idx="450">
                  <c:v>0.31249999999999906</c:v>
                </c:pt>
                <c:pt idx="451">
                  <c:v>0.3131944444444435</c:v>
                </c:pt>
                <c:pt idx="452">
                  <c:v>0.31388888888888794</c:v>
                </c:pt>
                <c:pt idx="453">
                  <c:v>0.31458333333333238</c:v>
                </c:pt>
                <c:pt idx="454">
                  <c:v>0.31527777777777682</c:v>
                </c:pt>
                <c:pt idx="455">
                  <c:v>0.31597222222222127</c:v>
                </c:pt>
                <c:pt idx="456">
                  <c:v>0.31666666666666571</c:v>
                </c:pt>
                <c:pt idx="457">
                  <c:v>0.31736111111111015</c:v>
                </c:pt>
                <c:pt idx="458">
                  <c:v>0.31805555555555459</c:v>
                </c:pt>
                <c:pt idx="459">
                  <c:v>0.31874999999999903</c:v>
                </c:pt>
                <c:pt idx="460">
                  <c:v>0.31944444444444348</c:v>
                </c:pt>
                <c:pt idx="461">
                  <c:v>0.32013888888888792</c:v>
                </c:pt>
                <c:pt idx="462">
                  <c:v>0.32083333333333236</c:v>
                </c:pt>
                <c:pt idx="463">
                  <c:v>0.3215277777777768</c:v>
                </c:pt>
                <c:pt idx="464">
                  <c:v>0.32222222222222124</c:v>
                </c:pt>
                <c:pt idx="465">
                  <c:v>0.32291666666666569</c:v>
                </c:pt>
                <c:pt idx="466">
                  <c:v>0.32361111111111013</c:v>
                </c:pt>
                <c:pt idx="467">
                  <c:v>0.32430555555555457</c:v>
                </c:pt>
                <c:pt idx="468">
                  <c:v>0.32499999999999901</c:v>
                </c:pt>
                <c:pt idx="469">
                  <c:v>0.32569444444444345</c:v>
                </c:pt>
                <c:pt idx="470">
                  <c:v>0.3263888888888879</c:v>
                </c:pt>
                <c:pt idx="471">
                  <c:v>0.32708333333333234</c:v>
                </c:pt>
                <c:pt idx="472">
                  <c:v>0.32777777777777678</c:v>
                </c:pt>
                <c:pt idx="473">
                  <c:v>0.32847222222222122</c:v>
                </c:pt>
                <c:pt idx="474">
                  <c:v>0.32916666666666566</c:v>
                </c:pt>
                <c:pt idx="475">
                  <c:v>0.32986111111111011</c:v>
                </c:pt>
                <c:pt idx="476">
                  <c:v>0.33055555555555455</c:v>
                </c:pt>
                <c:pt idx="477">
                  <c:v>0.33124999999999899</c:v>
                </c:pt>
                <c:pt idx="478">
                  <c:v>0.33194444444444343</c:v>
                </c:pt>
                <c:pt idx="479">
                  <c:v>0.33263888888888787</c:v>
                </c:pt>
                <c:pt idx="480">
                  <c:v>0.33333333333333232</c:v>
                </c:pt>
                <c:pt idx="481">
                  <c:v>0.33402777777777676</c:v>
                </c:pt>
                <c:pt idx="482">
                  <c:v>0.3347222222222212</c:v>
                </c:pt>
                <c:pt idx="483">
                  <c:v>0.33541666666666564</c:v>
                </c:pt>
                <c:pt idx="484">
                  <c:v>0.33611111111111008</c:v>
                </c:pt>
                <c:pt idx="485">
                  <c:v>0.33680555555555453</c:v>
                </c:pt>
                <c:pt idx="486">
                  <c:v>0.33749999999999897</c:v>
                </c:pt>
                <c:pt idx="487">
                  <c:v>0.33819444444444341</c:v>
                </c:pt>
                <c:pt idx="488">
                  <c:v>0.33888888888888785</c:v>
                </c:pt>
                <c:pt idx="489">
                  <c:v>0.33958333333333229</c:v>
                </c:pt>
                <c:pt idx="490">
                  <c:v>0.34027777777777674</c:v>
                </c:pt>
                <c:pt idx="491">
                  <c:v>0.34097222222222118</c:v>
                </c:pt>
                <c:pt idx="492">
                  <c:v>0.34166666666666562</c:v>
                </c:pt>
                <c:pt idx="493">
                  <c:v>0.34236111111111006</c:v>
                </c:pt>
                <c:pt idx="494">
                  <c:v>0.3430555555555545</c:v>
                </c:pt>
                <c:pt idx="495">
                  <c:v>0.34374999999999895</c:v>
                </c:pt>
                <c:pt idx="496">
                  <c:v>0.34444444444444339</c:v>
                </c:pt>
                <c:pt idx="497">
                  <c:v>0.34513888888888783</c:v>
                </c:pt>
                <c:pt idx="498">
                  <c:v>0.34583333333333227</c:v>
                </c:pt>
                <c:pt idx="499">
                  <c:v>0.34652777777777671</c:v>
                </c:pt>
                <c:pt idx="500">
                  <c:v>0.34722222222222116</c:v>
                </c:pt>
                <c:pt idx="501">
                  <c:v>0.3479166666666656</c:v>
                </c:pt>
                <c:pt idx="502">
                  <c:v>0.34861111111111004</c:v>
                </c:pt>
                <c:pt idx="503">
                  <c:v>0.34930555555555448</c:v>
                </c:pt>
                <c:pt idx="504">
                  <c:v>0.34999999999999892</c:v>
                </c:pt>
                <c:pt idx="505">
                  <c:v>0.35069444444444337</c:v>
                </c:pt>
                <c:pt idx="506">
                  <c:v>0.35138888888888781</c:v>
                </c:pt>
                <c:pt idx="507">
                  <c:v>0.35208333333333225</c:v>
                </c:pt>
                <c:pt idx="508">
                  <c:v>0.35277777777777669</c:v>
                </c:pt>
                <c:pt idx="509">
                  <c:v>0.35347222222222113</c:v>
                </c:pt>
                <c:pt idx="510">
                  <c:v>0.35416666666666557</c:v>
                </c:pt>
                <c:pt idx="511">
                  <c:v>0.35486111111111002</c:v>
                </c:pt>
                <c:pt idx="512">
                  <c:v>0.35555555555555446</c:v>
                </c:pt>
                <c:pt idx="513">
                  <c:v>0.3562499999999989</c:v>
                </c:pt>
                <c:pt idx="514">
                  <c:v>0.35694444444444334</c:v>
                </c:pt>
                <c:pt idx="515">
                  <c:v>0.35763888888888778</c:v>
                </c:pt>
                <c:pt idx="516">
                  <c:v>0.35833333333333223</c:v>
                </c:pt>
                <c:pt idx="517">
                  <c:v>0.35902777777777667</c:v>
                </c:pt>
                <c:pt idx="518">
                  <c:v>0.35972222222222111</c:v>
                </c:pt>
                <c:pt idx="519">
                  <c:v>0.36041666666666555</c:v>
                </c:pt>
                <c:pt idx="520">
                  <c:v>0.36111111111110999</c:v>
                </c:pt>
                <c:pt idx="521">
                  <c:v>0.36180555555555444</c:v>
                </c:pt>
                <c:pt idx="522">
                  <c:v>0.36249999999999888</c:v>
                </c:pt>
                <c:pt idx="523">
                  <c:v>0.36319444444444332</c:v>
                </c:pt>
                <c:pt idx="524">
                  <c:v>0.36388888888888776</c:v>
                </c:pt>
                <c:pt idx="525">
                  <c:v>0.3645833333333322</c:v>
                </c:pt>
                <c:pt idx="526">
                  <c:v>0.36527777777777665</c:v>
                </c:pt>
                <c:pt idx="527">
                  <c:v>0.36597222222222109</c:v>
                </c:pt>
                <c:pt idx="528">
                  <c:v>0.36666666666666553</c:v>
                </c:pt>
                <c:pt idx="529">
                  <c:v>0.36736111111110997</c:v>
                </c:pt>
                <c:pt idx="530">
                  <c:v>0.36805555555555441</c:v>
                </c:pt>
                <c:pt idx="531">
                  <c:v>0.36874999999999886</c:v>
                </c:pt>
                <c:pt idx="532">
                  <c:v>0.3694444444444433</c:v>
                </c:pt>
                <c:pt idx="533">
                  <c:v>0.37013888888888774</c:v>
                </c:pt>
                <c:pt idx="534">
                  <c:v>0.37083333333333218</c:v>
                </c:pt>
                <c:pt idx="535">
                  <c:v>0.37152777777777662</c:v>
                </c:pt>
                <c:pt idx="536">
                  <c:v>0.37222222222222107</c:v>
                </c:pt>
                <c:pt idx="537">
                  <c:v>0.37291666666666551</c:v>
                </c:pt>
                <c:pt idx="538">
                  <c:v>0.37361111111110995</c:v>
                </c:pt>
                <c:pt idx="539">
                  <c:v>0.37430555555555439</c:v>
                </c:pt>
                <c:pt idx="540">
                  <c:v>0.37499999999999883</c:v>
                </c:pt>
                <c:pt idx="541">
                  <c:v>0.37569444444444328</c:v>
                </c:pt>
                <c:pt idx="542">
                  <c:v>0.37638888888888772</c:v>
                </c:pt>
                <c:pt idx="543">
                  <c:v>0.37708333333333216</c:v>
                </c:pt>
                <c:pt idx="544">
                  <c:v>0.3777777777777766</c:v>
                </c:pt>
                <c:pt idx="545">
                  <c:v>0.37847222222222104</c:v>
                </c:pt>
                <c:pt idx="546">
                  <c:v>0.37916666666666549</c:v>
                </c:pt>
                <c:pt idx="547">
                  <c:v>0.37986111111110993</c:v>
                </c:pt>
                <c:pt idx="548">
                  <c:v>0.38055555555555437</c:v>
                </c:pt>
                <c:pt idx="549">
                  <c:v>0.38124999999999881</c:v>
                </c:pt>
                <c:pt idx="550">
                  <c:v>0.38194444444444325</c:v>
                </c:pt>
                <c:pt idx="551">
                  <c:v>0.3826388888888877</c:v>
                </c:pt>
                <c:pt idx="552">
                  <c:v>0.38333333333333214</c:v>
                </c:pt>
                <c:pt idx="553">
                  <c:v>0.38402777777777658</c:v>
                </c:pt>
                <c:pt idx="554">
                  <c:v>0.38472222222222102</c:v>
                </c:pt>
                <c:pt idx="555">
                  <c:v>0.38541666666666546</c:v>
                </c:pt>
                <c:pt idx="556">
                  <c:v>0.38611111111110991</c:v>
                </c:pt>
                <c:pt idx="557">
                  <c:v>0.38680555555555435</c:v>
                </c:pt>
                <c:pt idx="558">
                  <c:v>0.38749999999999879</c:v>
                </c:pt>
                <c:pt idx="559">
                  <c:v>0.38819444444444323</c:v>
                </c:pt>
                <c:pt idx="560">
                  <c:v>0.38888888888888767</c:v>
                </c:pt>
                <c:pt idx="561">
                  <c:v>0.38958333333333212</c:v>
                </c:pt>
                <c:pt idx="562">
                  <c:v>0.39027777777777656</c:v>
                </c:pt>
                <c:pt idx="563">
                  <c:v>0.390972222222221</c:v>
                </c:pt>
                <c:pt idx="564">
                  <c:v>0.39166666666666544</c:v>
                </c:pt>
                <c:pt idx="565">
                  <c:v>0.39236111111110988</c:v>
                </c:pt>
                <c:pt idx="566">
                  <c:v>0.39305555555555433</c:v>
                </c:pt>
                <c:pt idx="567">
                  <c:v>0.39374999999999877</c:v>
                </c:pt>
                <c:pt idx="568">
                  <c:v>0.39444444444444321</c:v>
                </c:pt>
                <c:pt idx="569">
                  <c:v>0.39513888888888765</c:v>
                </c:pt>
                <c:pt idx="570">
                  <c:v>0.39583333333333209</c:v>
                </c:pt>
                <c:pt idx="571">
                  <c:v>0.39652777777777654</c:v>
                </c:pt>
                <c:pt idx="572">
                  <c:v>0.39722222222222098</c:v>
                </c:pt>
                <c:pt idx="573">
                  <c:v>0.39791666666666542</c:v>
                </c:pt>
                <c:pt idx="574">
                  <c:v>0.39861111111110986</c:v>
                </c:pt>
                <c:pt idx="575">
                  <c:v>0.3993055555555543</c:v>
                </c:pt>
                <c:pt idx="576">
                  <c:v>0.39999999999999875</c:v>
                </c:pt>
                <c:pt idx="577">
                  <c:v>0.40069444444444319</c:v>
                </c:pt>
                <c:pt idx="578">
                  <c:v>0.40138888888888763</c:v>
                </c:pt>
                <c:pt idx="579">
                  <c:v>0.40208333333333207</c:v>
                </c:pt>
                <c:pt idx="580">
                  <c:v>0.40277777777777651</c:v>
                </c:pt>
                <c:pt idx="581">
                  <c:v>0.40347222222222096</c:v>
                </c:pt>
                <c:pt idx="582">
                  <c:v>0.4041666666666654</c:v>
                </c:pt>
                <c:pt idx="583">
                  <c:v>0.40486111111110984</c:v>
                </c:pt>
                <c:pt idx="584">
                  <c:v>0.40555555555555428</c:v>
                </c:pt>
                <c:pt idx="585">
                  <c:v>0.40624999999999872</c:v>
                </c:pt>
                <c:pt idx="586">
                  <c:v>0.40694444444444317</c:v>
                </c:pt>
                <c:pt idx="587">
                  <c:v>0.40763888888888761</c:v>
                </c:pt>
                <c:pt idx="588">
                  <c:v>0.40833333333333205</c:v>
                </c:pt>
                <c:pt idx="589">
                  <c:v>0.40902777777777649</c:v>
                </c:pt>
                <c:pt idx="590">
                  <c:v>0.40972222222222093</c:v>
                </c:pt>
                <c:pt idx="591">
                  <c:v>0.41041666666666538</c:v>
                </c:pt>
                <c:pt idx="592">
                  <c:v>0.41111111111110982</c:v>
                </c:pt>
                <c:pt idx="593">
                  <c:v>0.41180555555555426</c:v>
                </c:pt>
                <c:pt idx="594">
                  <c:v>0.4124999999999987</c:v>
                </c:pt>
                <c:pt idx="595">
                  <c:v>0.41319444444444314</c:v>
                </c:pt>
                <c:pt idx="596">
                  <c:v>0.41388888888888758</c:v>
                </c:pt>
                <c:pt idx="597">
                  <c:v>0.41458333333333203</c:v>
                </c:pt>
                <c:pt idx="598">
                  <c:v>0.41527777777777647</c:v>
                </c:pt>
                <c:pt idx="599">
                  <c:v>0.41597222222222091</c:v>
                </c:pt>
                <c:pt idx="600">
                  <c:v>0.41666666666666535</c:v>
                </c:pt>
                <c:pt idx="601">
                  <c:v>0.41736111111110979</c:v>
                </c:pt>
                <c:pt idx="602">
                  <c:v>0.41805555555555424</c:v>
                </c:pt>
                <c:pt idx="603">
                  <c:v>0.41874999999999868</c:v>
                </c:pt>
                <c:pt idx="604">
                  <c:v>0.41944444444444312</c:v>
                </c:pt>
                <c:pt idx="605">
                  <c:v>0.42013888888888756</c:v>
                </c:pt>
                <c:pt idx="606">
                  <c:v>0.420833333333332</c:v>
                </c:pt>
                <c:pt idx="607">
                  <c:v>0.42152777777777645</c:v>
                </c:pt>
                <c:pt idx="608">
                  <c:v>0.42222222222222089</c:v>
                </c:pt>
                <c:pt idx="609">
                  <c:v>0.42291666666666533</c:v>
                </c:pt>
                <c:pt idx="610">
                  <c:v>0.42361111111110977</c:v>
                </c:pt>
                <c:pt idx="611">
                  <c:v>0.42430555555555421</c:v>
                </c:pt>
                <c:pt idx="612">
                  <c:v>0.42499999999999866</c:v>
                </c:pt>
                <c:pt idx="613">
                  <c:v>0.4256944444444431</c:v>
                </c:pt>
                <c:pt idx="614">
                  <c:v>0.42638888888888754</c:v>
                </c:pt>
                <c:pt idx="615">
                  <c:v>0.42708333333333198</c:v>
                </c:pt>
                <c:pt idx="616">
                  <c:v>0.42777777777777642</c:v>
                </c:pt>
                <c:pt idx="617">
                  <c:v>0.42847222222222087</c:v>
                </c:pt>
                <c:pt idx="618">
                  <c:v>0.42916666666666531</c:v>
                </c:pt>
                <c:pt idx="619">
                  <c:v>0.42986111111110975</c:v>
                </c:pt>
                <c:pt idx="620">
                  <c:v>0.43055555555555419</c:v>
                </c:pt>
                <c:pt idx="621">
                  <c:v>0.43124999999999863</c:v>
                </c:pt>
                <c:pt idx="622">
                  <c:v>0.43194444444444308</c:v>
                </c:pt>
                <c:pt idx="623">
                  <c:v>0.43263888888888752</c:v>
                </c:pt>
                <c:pt idx="624">
                  <c:v>0.43333333333333196</c:v>
                </c:pt>
                <c:pt idx="625">
                  <c:v>0.4340277777777764</c:v>
                </c:pt>
                <c:pt idx="626">
                  <c:v>0.43472222222222084</c:v>
                </c:pt>
                <c:pt idx="627">
                  <c:v>0.43541666666666529</c:v>
                </c:pt>
                <c:pt idx="628">
                  <c:v>0.43611111111110973</c:v>
                </c:pt>
                <c:pt idx="629">
                  <c:v>0.43680555555555417</c:v>
                </c:pt>
                <c:pt idx="630">
                  <c:v>0.43749999999999861</c:v>
                </c:pt>
                <c:pt idx="631">
                  <c:v>0.43819444444444305</c:v>
                </c:pt>
                <c:pt idx="632">
                  <c:v>0.4388888888888875</c:v>
                </c:pt>
                <c:pt idx="633">
                  <c:v>0.43958333333333194</c:v>
                </c:pt>
                <c:pt idx="634">
                  <c:v>0.44027777777777638</c:v>
                </c:pt>
                <c:pt idx="635">
                  <c:v>0.44097222222222082</c:v>
                </c:pt>
                <c:pt idx="636">
                  <c:v>0.44166666666666526</c:v>
                </c:pt>
                <c:pt idx="637">
                  <c:v>0.44236111111110971</c:v>
                </c:pt>
                <c:pt idx="638">
                  <c:v>0.44305555555555415</c:v>
                </c:pt>
                <c:pt idx="639">
                  <c:v>0.44374999999999859</c:v>
                </c:pt>
                <c:pt idx="640">
                  <c:v>0.44444444444444303</c:v>
                </c:pt>
                <c:pt idx="641">
                  <c:v>0.44513888888888747</c:v>
                </c:pt>
                <c:pt idx="642">
                  <c:v>0.44583333333333192</c:v>
                </c:pt>
                <c:pt idx="643">
                  <c:v>0.44652777777777636</c:v>
                </c:pt>
                <c:pt idx="644">
                  <c:v>0.4472222222222208</c:v>
                </c:pt>
                <c:pt idx="645">
                  <c:v>0.44791666666666524</c:v>
                </c:pt>
                <c:pt idx="646">
                  <c:v>0.44861111111110968</c:v>
                </c:pt>
                <c:pt idx="647">
                  <c:v>0.44930555555555413</c:v>
                </c:pt>
                <c:pt idx="648">
                  <c:v>0.44999999999999857</c:v>
                </c:pt>
                <c:pt idx="649">
                  <c:v>0.45069444444444301</c:v>
                </c:pt>
                <c:pt idx="650">
                  <c:v>0.45138888888888745</c:v>
                </c:pt>
                <c:pt idx="651">
                  <c:v>0.45208333333333189</c:v>
                </c:pt>
                <c:pt idx="652">
                  <c:v>0.45277777777777634</c:v>
                </c:pt>
                <c:pt idx="653">
                  <c:v>0.45347222222222078</c:v>
                </c:pt>
                <c:pt idx="654">
                  <c:v>0.45416666666666522</c:v>
                </c:pt>
                <c:pt idx="655">
                  <c:v>0.45486111111110966</c:v>
                </c:pt>
                <c:pt idx="656">
                  <c:v>0.4555555555555541</c:v>
                </c:pt>
                <c:pt idx="657">
                  <c:v>0.45624999999999855</c:v>
                </c:pt>
                <c:pt idx="658">
                  <c:v>0.45694444444444299</c:v>
                </c:pt>
                <c:pt idx="659">
                  <c:v>0.45763888888888743</c:v>
                </c:pt>
                <c:pt idx="660">
                  <c:v>0.45833333333333187</c:v>
                </c:pt>
                <c:pt idx="661">
                  <c:v>0.45902777777777631</c:v>
                </c:pt>
                <c:pt idx="662">
                  <c:v>0.45972222222222076</c:v>
                </c:pt>
                <c:pt idx="663">
                  <c:v>0.4604166666666652</c:v>
                </c:pt>
                <c:pt idx="664">
                  <c:v>0.46111111111110964</c:v>
                </c:pt>
                <c:pt idx="665">
                  <c:v>0.46180555555555408</c:v>
                </c:pt>
                <c:pt idx="666">
                  <c:v>0.46249999999999852</c:v>
                </c:pt>
                <c:pt idx="667">
                  <c:v>0.46319444444444297</c:v>
                </c:pt>
                <c:pt idx="668">
                  <c:v>0.46388888888888741</c:v>
                </c:pt>
                <c:pt idx="669">
                  <c:v>0.46458333333333185</c:v>
                </c:pt>
                <c:pt idx="670">
                  <c:v>0.46527777777777629</c:v>
                </c:pt>
                <c:pt idx="671">
                  <c:v>0.46597222222222073</c:v>
                </c:pt>
                <c:pt idx="672">
                  <c:v>0.46666666666666518</c:v>
                </c:pt>
                <c:pt idx="673">
                  <c:v>0.46736111111110962</c:v>
                </c:pt>
                <c:pt idx="674">
                  <c:v>0.46805555555555406</c:v>
                </c:pt>
                <c:pt idx="675">
                  <c:v>0.4687499999999985</c:v>
                </c:pt>
                <c:pt idx="676">
                  <c:v>0.46944444444444294</c:v>
                </c:pt>
                <c:pt idx="677">
                  <c:v>0.47013888888888739</c:v>
                </c:pt>
                <c:pt idx="678">
                  <c:v>0.47083333333333183</c:v>
                </c:pt>
                <c:pt idx="679">
                  <c:v>0.47152777777777627</c:v>
                </c:pt>
                <c:pt idx="680">
                  <c:v>0.47222222222222071</c:v>
                </c:pt>
                <c:pt idx="681">
                  <c:v>0.47291666666666515</c:v>
                </c:pt>
                <c:pt idx="682">
                  <c:v>0.4736111111111096</c:v>
                </c:pt>
                <c:pt idx="683">
                  <c:v>0.47430555555555404</c:v>
                </c:pt>
                <c:pt idx="684">
                  <c:v>0.47499999999999848</c:v>
                </c:pt>
                <c:pt idx="685">
                  <c:v>0.47569444444444292</c:v>
                </c:pt>
                <c:pt idx="686">
                  <c:v>0.47638888888888736</c:v>
                </c:pt>
                <c:pt idx="687">
                  <c:v>0.4770833333333318</c:v>
                </c:pt>
                <c:pt idx="688">
                  <c:v>0.47777777777777625</c:v>
                </c:pt>
                <c:pt idx="689">
                  <c:v>0.47847222222222069</c:v>
                </c:pt>
                <c:pt idx="690">
                  <c:v>0.47916666666666513</c:v>
                </c:pt>
                <c:pt idx="691">
                  <c:v>0.47986111111110957</c:v>
                </c:pt>
                <c:pt idx="692">
                  <c:v>0.48055555555555401</c:v>
                </c:pt>
                <c:pt idx="693">
                  <c:v>0.48124999999999846</c:v>
                </c:pt>
                <c:pt idx="694">
                  <c:v>0.4819444444444429</c:v>
                </c:pt>
                <c:pt idx="695">
                  <c:v>0.48263888888888734</c:v>
                </c:pt>
                <c:pt idx="696">
                  <c:v>0.48333333333333178</c:v>
                </c:pt>
                <c:pt idx="697">
                  <c:v>0.48402777777777622</c:v>
                </c:pt>
                <c:pt idx="698">
                  <c:v>0.48472222222222067</c:v>
                </c:pt>
                <c:pt idx="699">
                  <c:v>0.48541666666666511</c:v>
                </c:pt>
                <c:pt idx="700">
                  <c:v>0.48611111111110955</c:v>
                </c:pt>
                <c:pt idx="701">
                  <c:v>0.48680555555555399</c:v>
                </c:pt>
                <c:pt idx="702">
                  <c:v>0.48749999999999843</c:v>
                </c:pt>
                <c:pt idx="703">
                  <c:v>0.48819444444444288</c:v>
                </c:pt>
                <c:pt idx="704">
                  <c:v>0.48888888888888732</c:v>
                </c:pt>
                <c:pt idx="705">
                  <c:v>0.48958333333333176</c:v>
                </c:pt>
                <c:pt idx="706">
                  <c:v>0.4902777777777762</c:v>
                </c:pt>
                <c:pt idx="707">
                  <c:v>0.49097222222222064</c:v>
                </c:pt>
                <c:pt idx="708">
                  <c:v>0.49166666666666509</c:v>
                </c:pt>
                <c:pt idx="709">
                  <c:v>0.49236111111110953</c:v>
                </c:pt>
                <c:pt idx="710">
                  <c:v>0.49305555555555397</c:v>
                </c:pt>
                <c:pt idx="711">
                  <c:v>0.49374999999999841</c:v>
                </c:pt>
                <c:pt idx="712">
                  <c:v>0.49444444444444285</c:v>
                </c:pt>
                <c:pt idx="713">
                  <c:v>0.4951388888888873</c:v>
                </c:pt>
                <c:pt idx="714">
                  <c:v>0.49583333333333174</c:v>
                </c:pt>
                <c:pt idx="715">
                  <c:v>0.49652777777777618</c:v>
                </c:pt>
                <c:pt idx="716">
                  <c:v>0.49722222222222062</c:v>
                </c:pt>
                <c:pt idx="717">
                  <c:v>0.49791666666666506</c:v>
                </c:pt>
                <c:pt idx="718">
                  <c:v>0.49861111111110951</c:v>
                </c:pt>
                <c:pt idx="719">
                  <c:v>0.49930555555555395</c:v>
                </c:pt>
                <c:pt idx="720">
                  <c:v>0.49999999999999839</c:v>
                </c:pt>
                <c:pt idx="721">
                  <c:v>0.50069444444444289</c:v>
                </c:pt>
                <c:pt idx="722">
                  <c:v>0.50138888888888733</c:v>
                </c:pt>
                <c:pt idx="723">
                  <c:v>0.50208333333333177</c:v>
                </c:pt>
                <c:pt idx="724">
                  <c:v>0.50277777777777621</c:v>
                </c:pt>
                <c:pt idx="725">
                  <c:v>0.50347222222222066</c:v>
                </c:pt>
                <c:pt idx="726">
                  <c:v>0.5041666666666651</c:v>
                </c:pt>
                <c:pt idx="727">
                  <c:v>0.50486111111110954</c:v>
                </c:pt>
                <c:pt idx="728">
                  <c:v>0.50555555555555398</c:v>
                </c:pt>
                <c:pt idx="729">
                  <c:v>0.50624999999999842</c:v>
                </c:pt>
                <c:pt idx="730">
                  <c:v>0.50694444444444287</c:v>
                </c:pt>
                <c:pt idx="731">
                  <c:v>0.50763888888888731</c:v>
                </c:pt>
                <c:pt idx="732">
                  <c:v>0.50833333333333175</c:v>
                </c:pt>
                <c:pt idx="733">
                  <c:v>0.50902777777777619</c:v>
                </c:pt>
                <c:pt idx="734">
                  <c:v>0.50972222222222063</c:v>
                </c:pt>
                <c:pt idx="735">
                  <c:v>0.51041666666666508</c:v>
                </c:pt>
                <c:pt idx="736">
                  <c:v>0.51111111111110952</c:v>
                </c:pt>
                <c:pt idx="737">
                  <c:v>0.51180555555555396</c:v>
                </c:pt>
                <c:pt idx="738">
                  <c:v>0.5124999999999984</c:v>
                </c:pt>
                <c:pt idx="739">
                  <c:v>0.51319444444444284</c:v>
                </c:pt>
                <c:pt idx="740">
                  <c:v>0.51388888888888729</c:v>
                </c:pt>
                <c:pt idx="741">
                  <c:v>0.51458333333333173</c:v>
                </c:pt>
                <c:pt idx="742">
                  <c:v>0.51527777777777617</c:v>
                </c:pt>
                <c:pt idx="743">
                  <c:v>0.51597222222222061</c:v>
                </c:pt>
                <c:pt idx="744">
                  <c:v>0.51666666666666505</c:v>
                </c:pt>
                <c:pt idx="745">
                  <c:v>0.5173611111111095</c:v>
                </c:pt>
                <c:pt idx="746">
                  <c:v>0.51805555555555394</c:v>
                </c:pt>
                <c:pt idx="747">
                  <c:v>0.51874999999999838</c:v>
                </c:pt>
                <c:pt idx="748">
                  <c:v>0.51944444444444282</c:v>
                </c:pt>
                <c:pt idx="749">
                  <c:v>0.52013888888888726</c:v>
                </c:pt>
                <c:pt idx="750">
                  <c:v>0.52083333333333171</c:v>
                </c:pt>
                <c:pt idx="751">
                  <c:v>0.52152777777777615</c:v>
                </c:pt>
                <c:pt idx="752">
                  <c:v>0.52222222222222059</c:v>
                </c:pt>
                <c:pt idx="753">
                  <c:v>0.52291666666666503</c:v>
                </c:pt>
                <c:pt idx="754">
                  <c:v>0.52361111111110947</c:v>
                </c:pt>
                <c:pt idx="755">
                  <c:v>0.52430555555555391</c:v>
                </c:pt>
                <c:pt idx="756">
                  <c:v>0.52499999999999836</c:v>
                </c:pt>
                <c:pt idx="757">
                  <c:v>0.5256944444444428</c:v>
                </c:pt>
                <c:pt idx="758">
                  <c:v>0.52638888888888724</c:v>
                </c:pt>
                <c:pt idx="759">
                  <c:v>0.52708333333333168</c:v>
                </c:pt>
                <c:pt idx="760">
                  <c:v>0.52777777777777612</c:v>
                </c:pt>
                <c:pt idx="761">
                  <c:v>0.52847222222222057</c:v>
                </c:pt>
                <c:pt idx="762">
                  <c:v>0.52916666666666501</c:v>
                </c:pt>
                <c:pt idx="763">
                  <c:v>0.52986111111110945</c:v>
                </c:pt>
                <c:pt idx="764">
                  <c:v>0.53055555555555389</c:v>
                </c:pt>
                <c:pt idx="765">
                  <c:v>0.53124999999999833</c:v>
                </c:pt>
                <c:pt idx="766">
                  <c:v>0.53194444444444278</c:v>
                </c:pt>
                <c:pt idx="767">
                  <c:v>0.53263888888888722</c:v>
                </c:pt>
                <c:pt idx="768">
                  <c:v>0.53333333333333166</c:v>
                </c:pt>
                <c:pt idx="769">
                  <c:v>0.5340277777777761</c:v>
                </c:pt>
                <c:pt idx="770">
                  <c:v>0.53472222222222054</c:v>
                </c:pt>
                <c:pt idx="771">
                  <c:v>0.53541666666666499</c:v>
                </c:pt>
                <c:pt idx="772">
                  <c:v>0.53611111111110943</c:v>
                </c:pt>
                <c:pt idx="773">
                  <c:v>0.53680555555555387</c:v>
                </c:pt>
                <c:pt idx="774">
                  <c:v>0.53749999999999831</c:v>
                </c:pt>
                <c:pt idx="775">
                  <c:v>0.53819444444444275</c:v>
                </c:pt>
                <c:pt idx="776">
                  <c:v>0.5388888888888872</c:v>
                </c:pt>
                <c:pt idx="777">
                  <c:v>0.53958333333333164</c:v>
                </c:pt>
                <c:pt idx="778">
                  <c:v>0.54027777777777608</c:v>
                </c:pt>
                <c:pt idx="779">
                  <c:v>0.54097222222222052</c:v>
                </c:pt>
                <c:pt idx="780">
                  <c:v>0.54166666666666496</c:v>
                </c:pt>
                <c:pt idx="781">
                  <c:v>0.54236111111110941</c:v>
                </c:pt>
                <c:pt idx="782">
                  <c:v>0.54305555555555385</c:v>
                </c:pt>
                <c:pt idx="783">
                  <c:v>0.54374999999999829</c:v>
                </c:pt>
                <c:pt idx="784">
                  <c:v>0.54444444444444273</c:v>
                </c:pt>
                <c:pt idx="785">
                  <c:v>0.54513888888888717</c:v>
                </c:pt>
                <c:pt idx="786">
                  <c:v>0.54583333333333162</c:v>
                </c:pt>
                <c:pt idx="787">
                  <c:v>0.54652777777777606</c:v>
                </c:pt>
                <c:pt idx="788">
                  <c:v>0.5472222222222205</c:v>
                </c:pt>
                <c:pt idx="789">
                  <c:v>0.54791666666666494</c:v>
                </c:pt>
                <c:pt idx="790">
                  <c:v>0.54861111111110938</c:v>
                </c:pt>
                <c:pt idx="791">
                  <c:v>0.54930555555555383</c:v>
                </c:pt>
                <c:pt idx="792">
                  <c:v>0.54999999999999827</c:v>
                </c:pt>
                <c:pt idx="793">
                  <c:v>0.55069444444444271</c:v>
                </c:pt>
                <c:pt idx="794">
                  <c:v>0.55138888888888715</c:v>
                </c:pt>
                <c:pt idx="795">
                  <c:v>0.55208333333333159</c:v>
                </c:pt>
                <c:pt idx="796">
                  <c:v>0.55277777777777604</c:v>
                </c:pt>
                <c:pt idx="797">
                  <c:v>0.55347222222222048</c:v>
                </c:pt>
                <c:pt idx="798">
                  <c:v>0.55416666666666492</c:v>
                </c:pt>
                <c:pt idx="799">
                  <c:v>0.55486111111110936</c:v>
                </c:pt>
                <c:pt idx="800">
                  <c:v>0.5555555555555538</c:v>
                </c:pt>
                <c:pt idx="801">
                  <c:v>0.55624999999999825</c:v>
                </c:pt>
                <c:pt idx="802">
                  <c:v>0.55694444444444269</c:v>
                </c:pt>
                <c:pt idx="803">
                  <c:v>0.55763888888888713</c:v>
                </c:pt>
                <c:pt idx="804">
                  <c:v>0.55833333333333157</c:v>
                </c:pt>
                <c:pt idx="805">
                  <c:v>0.55902777777777601</c:v>
                </c:pt>
                <c:pt idx="806">
                  <c:v>0.55972222222222046</c:v>
                </c:pt>
                <c:pt idx="807">
                  <c:v>0.5604166666666649</c:v>
                </c:pt>
                <c:pt idx="808">
                  <c:v>0.56111111111110934</c:v>
                </c:pt>
                <c:pt idx="809">
                  <c:v>0.56180555555555378</c:v>
                </c:pt>
                <c:pt idx="810">
                  <c:v>0.56249999999999822</c:v>
                </c:pt>
                <c:pt idx="811">
                  <c:v>0.56319444444444267</c:v>
                </c:pt>
                <c:pt idx="812">
                  <c:v>0.56388888888888711</c:v>
                </c:pt>
                <c:pt idx="813">
                  <c:v>0.56458333333333155</c:v>
                </c:pt>
                <c:pt idx="814">
                  <c:v>0.56527777777777599</c:v>
                </c:pt>
                <c:pt idx="815">
                  <c:v>0.56597222222222043</c:v>
                </c:pt>
                <c:pt idx="816">
                  <c:v>0.56666666666666488</c:v>
                </c:pt>
                <c:pt idx="817">
                  <c:v>0.56736111111110932</c:v>
                </c:pt>
                <c:pt idx="818">
                  <c:v>0.56805555555555376</c:v>
                </c:pt>
                <c:pt idx="819">
                  <c:v>0.5687499999999982</c:v>
                </c:pt>
                <c:pt idx="820">
                  <c:v>0.56944444444444264</c:v>
                </c:pt>
                <c:pt idx="821">
                  <c:v>0.57013888888888709</c:v>
                </c:pt>
                <c:pt idx="822">
                  <c:v>0.57083333333333153</c:v>
                </c:pt>
                <c:pt idx="823">
                  <c:v>0.57152777777777597</c:v>
                </c:pt>
                <c:pt idx="824">
                  <c:v>0.57222222222222041</c:v>
                </c:pt>
                <c:pt idx="825">
                  <c:v>0.57291666666666485</c:v>
                </c:pt>
                <c:pt idx="826">
                  <c:v>0.5736111111111093</c:v>
                </c:pt>
                <c:pt idx="827">
                  <c:v>0.57430555555555374</c:v>
                </c:pt>
                <c:pt idx="828">
                  <c:v>0.57499999999999818</c:v>
                </c:pt>
                <c:pt idx="829">
                  <c:v>0.57569444444444262</c:v>
                </c:pt>
                <c:pt idx="830">
                  <c:v>0.57638888888888706</c:v>
                </c:pt>
                <c:pt idx="831">
                  <c:v>0.57708333333333151</c:v>
                </c:pt>
                <c:pt idx="832">
                  <c:v>0.57777777777777595</c:v>
                </c:pt>
                <c:pt idx="833">
                  <c:v>0.57847222222222039</c:v>
                </c:pt>
                <c:pt idx="834">
                  <c:v>0.57916666666666483</c:v>
                </c:pt>
                <c:pt idx="835">
                  <c:v>0.57986111111110927</c:v>
                </c:pt>
                <c:pt idx="836">
                  <c:v>0.58055555555555372</c:v>
                </c:pt>
                <c:pt idx="837">
                  <c:v>0.58124999999999816</c:v>
                </c:pt>
                <c:pt idx="838">
                  <c:v>0.5819444444444426</c:v>
                </c:pt>
                <c:pt idx="839">
                  <c:v>0.58263888888888704</c:v>
                </c:pt>
                <c:pt idx="840">
                  <c:v>0.58333333333333148</c:v>
                </c:pt>
                <c:pt idx="841">
                  <c:v>0.58402777777777592</c:v>
                </c:pt>
                <c:pt idx="842">
                  <c:v>0.58472222222222037</c:v>
                </c:pt>
                <c:pt idx="843">
                  <c:v>0.58541666666666481</c:v>
                </c:pt>
                <c:pt idx="844">
                  <c:v>0.58611111111110925</c:v>
                </c:pt>
                <c:pt idx="845">
                  <c:v>0.58680555555555369</c:v>
                </c:pt>
                <c:pt idx="846">
                  <c:v>0.58749999999999813</c:v>
                </c:pt>
                <c:pt idx="847">
                  <c:v>0.58819444444444258</c:v>
                </c:pt>
                <c:pt idx="848">
                  <c:v>0.58888888888888702</c:v>
                </c:pt>
                <c:pt idx="849">
                  <c:v>0.58958333333333146</c:v>
                </c:pt>
                <c:pt idx="850">
                  <c:v>0.5902777777777759</c:v>
                </c:pt>
                <c:pt idx="851">
                  <c:v>0.59097222222222034</c:v>
                </c:pt>
                <c:pt idx="852">
                  <c:v>0.59166666666666479</c:v>
                </c:pt>
                <c:pt idx="853">
                  <c:v>0.59236111111110923</c:v>
                </c:pt>
                <c:pt idx="854">
                  <c:v>0.59305555555555367</c:v>
                </c:pt>
                <c:pt idx="855">
                  <c:v>0.59374999999999811</c:v>
                </c:pt>
                <c:pt idx="856">
                  <c:v>0.59444444444444255</c:v>
                </c:pt>
                <c:pt idx="857">
                  <c:v>0.595138888888887</c:v>
                </c:pt>
                <c:pt idx="858">
                  <c:v>0.59583333333333144</c:v>
                </c:pt>
                <c:pt idx="859">
                  <c:v>0.59652777777777588</c:v>
                </c:pt>
                <c:pt idx="860">
                  <c:v>0.59722222222222032</c:v>
                </c:pt>
                <c:pt idx="861">
                  <c:v>0.59791666666666476</c:v>
                </c:pt>
                <c:pt idx="862">
                  <c:v>0.59861111111110921</c:v>
                </c:pt>
                <c:pt idx="863">
                  <c:v>0.59930555555555365</c:v>
                </c:pt>
                <c:pt idx="864">
                  <c:v>0.59999999999999809</c:v>
                </c:pt>
                <c:pt idx="865">
                  <c:v>0.60069444444444253</c:v>
                </c:pt>
                <c:pt idx="866">
                  <c:v>0.60138888888888697</c:v>
                </c:pt>
                <c:pt idx="867">
                  <c:v>0.60208333333333142</c:v>
                </c:pt>
                <c:pt idx="868">
                  <c:v>0.60277777777777586</c:v>
                </c:pt>
                <c:pt idx="869">
                  <c:v>0.6034722222222203</c:v>
                </c:pt>
                <c:pt idx="870">
                  <c:v>0.60416666666666474</c:v>
                </c:pt>
                <c:pt idx="871">
                  <c:v>0.60486111111110918</c:v>
                </c:pt>
                <c:pt idx="872">
                  <c:v>0.60555555555555363</c:v>
                </c:pt>
                <c:pt idx="873">
                  <c:v>0.60624999999999807</c:v>
                </c:pt>
                <c:pt idx="874">
                  <c:v>0.60694444444444251</c:v>
                </c:pt>
                <c:pt idx="875">
                  <c:v>0.60763888888888695</c:v>
                </c:pt>
                <c:pt idx="876">
                  <c:v>0.60833333333333139</c:v>
                </c:pt>
                <c:pt idx="877">
                  <c:v>0.60902777777777584</c:v>
                </c:pt>
                <c:pt idx="878">
                  <c:v>0.60972222222222028</c:v>
                </c:pt>
                <c:pt idx="879">
                  <c:v>0.61041666666666472</c:v>
                </c:pt>
                <c:pt idx="880">
                  <c:v>0.61111111111110916</c:v>
                </c:pt>
                <c:pt idx="881">
                  <c:v>0.6118055555555536</c:v>
                </c:pt>
                <c:pt idx="882">
                  <c:v>0.61249999999999805</c:v>
                </c:pt>
                <c:pt idx="883">
                  <c:v>0.61319444444444249</c:v>
                </c:pt>
                <c:pt idx="884">
                  <c:v>0.61388888888888693</c:v>
                </c:pt>
                <c:pt idx="885">
                  <c:v>0.61458333333333137</c:v>
                </c:pt>
                <c:pt idx="886">
                  <c:v>0.61527777777777581</c:v>
                </c:pt>
                <c:pt idx="887">
                  <c:v>0.61597222222222026</c:v>
                </c:pt>
                <c:pt idx="888">
                  <c:v>0.6166666666666647</c:v>
                </c:pt>
                <c:pt idx="889">
                  <c:v>0.61736111111110914</c:v>
                </c:pt>
                <c:pt idx="890">
                  <c:v>0.61805555555555358</c:v>
                </c:pt>
                <c:pt idx="891">
                  <c:v>0.61874999999999802</c:v>
                </c:pt>
                <c:pt idx="892">
                  <c:v>0.61944444444444247</c:v>
                </c:pt>
                <c:pt idx="893">
                  <c:v>0.62013888888888691</c:v>
                </c:pt>
                <c:pt idx="894">
                  <c:v>0.62083333333333135</c:v>
                </c:pt>
                <c:pt idx="895">
                  <c:v>0.62152777777777579</c:v>
                </c:pt>
                <c:pt idx="896">
                  <c:v>0.62222222222222023</c:v>
                </c:pt>
                <c:pt idx="897">
                  <c:v>0.62291666666666468</c:v>
                </c:pt>
                <c:pt idx="898">
                  <c:v>0.62361111111110912</c:v>
                </c:pt>
                <c:pt idx="899">
                  <c:v>0.62430555555555356</c:v>
                </c:pt>
                <c:pt idx="900">
                  <c:v>0.624999999999998</c:v>
                </c:pt>
                <c:pt idx="901">
                  <c:v>0.62569444444444244</c:v>
                </c:pt>
                <c:pt idx="902">
                  <c:v>0.62638888888888689</c:v>
                </c:pt>
                <c:pt idx="903">
                  <c:v>0.62708333333333133</c:v>
                </c:pt>
                <c:pt idx="904">
                  <c:v>0.62777777777777577</c:v>
                </c:pt>
                <c:pt idx="905">
                  <c:v>0.62847222222222021</c:v>
                </c:pt>
                <c:pt idx="906">
                  <c:v>0.62916666666666465</c:v>
                </c:pt>
                <c:pt idx="907">
                  <c:v>0.6298611111111091</c:v>
                </c:pt>
                <c:pt idx="908">
                  <c:v>0.63055555555555354</c:v>
                </c:pt>
                <c:pt idx="909">
                  <c:v>0.63124999999999798</c:v>
                </c:pt>
                <c:pt idx="910">
                  <c:v>0.63194444444444242</c:v>
                </c:pt>
                <c:pt idx="911">
                  <c:v>0.63263888888888686</c:v>
                </c:pt>
                <c:pt idx="912">
                  <c:v>0.63333333333333131</c:v>
                </c:pt>
                <c:pt idx="913">
                  <c:v>0.63402777777777575</c:v>
                </c:pt>
                <c:pt idx="914">
                  <c:v>0.63472222222222019</c:v>
                </c:pt>
                <c:pt idx="915">
                  <c:v>0.63541666666666463</c:v>
                </c:pt>
                <c:pt idx="916">
                  <c:v>0.63611111111110907</c:v>
                </c:pt>
                <c:pt idx="917">
                  <c:v>0.63680555555555352</c:v>
                </c:pt>
                <c:pt idx="918">
                  <c:v>0.63749999999999796</c:v>
                </c:pt>
                <c:pt idx="919">
                  <c:v>0.6381944444444424</c:v>
                </c:pt>
                <c:pt idx="920">
                  <c:v>0.63888888888888684</c:v>
                </c:pt>
                <c:pt idx="921">
                  <c:v>0.63958333333333128</c:v>
                </c:pt>
                <c:pt idx="922">
                  <c:v>0.64027777777777573</c:v>
                </c:pt>
                <c:pt idx="923">
                  <c:v>0.64097222222222017</c:v>
                </c:pt>
                <c:pt idx="924">
                  <c:v>0.64166666666666461</c:v>
                </c:pt>
                <c:pt idx="925">
                  <c:v>0.64236111111110905</c:v>
                </c:pt>
                <c:pt idx="926">
                  <c:v>0.64305555555555349</c:v>
                </c:pt>
                <c:pt idx="927">
                  <c:v>0.64374999999999793</c:v>
                </c:pt>
                <c:pt idx="928">
                  <c:v>0.64444444444444238</c:v>
                </c:pt>
                <c:pt idx="929">
                  <c:v>0.64513888888888682</c:v>
                </c:pt>
                <c:pt idx="930">
                  <c:v>0.64583333333333126</c:v>
                </c:pt>
                <c:pt idx="931">
                  <c:v>0.6465277777777757</c:v>
                </c:pt>
                <c:pt idx="932">
                  <c:v>0.64722222222222014</c:v>
                </c:pt>
                <c:pt idx="933">
                  <c:v>0.64791666666666459</c:v>
                </c:pt>
                <c:pt idx="934">
                  <c:v>0.64861111111110903</c:v>
                </c:pt>
                <c:pt idx="935">
                  <c:v>0.64930555555555347</c:v>
                </c:pt>
                <c:pt idx="936">
                  <c:v>0.64999999999999791</c:v>
                </c:pt>
                <c:pt idx="937">
                  <c:v>0.65069444444444235</c:v>
                </c:pt>
                <c:pt idx="938">
                  <c:v>0.6513888888888868</c:v>
                </c:pt>
                <c:pt idx="939">
                  <c:v>0.65208333333333124</c:v>
                </c:pt>
                <c:pt idx="940">
                  <c:v>0.65277777777777568</c:v>
                </c:pt>
                <c:pt idx="941">
                  <c:v>0.65347222222222012</c:v>
                </c:pt>
                <c:pt idx="942">
                  <c:v>0.65416666666666456</c:v>
                </c:pt>
                <c:pt idx="943">
                  <c:v>0.65486111111110901</c:v>
                </c:pt>
                <c:pt idx="944">
                  <c:v>0.65555555555555345</c:v>
                </c:pt>
                <c:pt idx="945">
                  <c:v>0.65624999999999789</c:v>
                </c:pt>
                <c:pt idx="946">
                  <c:v>0.65694444444444233</c:v>
                </c:pt>
                <c:pt idx="947">
                  <c:v>0.65763888888888677</c:v>
                </c:pt>
                <c:pt idx="948">
                  <c:v>0.65833333333333122</c:v>
                </c:pt>
                <c:pt idx="949">
                  <c:v>0.65902777777777566</c:v>
                </c:pt>
                <c:pt idx="950">
                  <c:v>0.6597222222222201</c:v>
                </c:pt>
                <c:pt idx="951">
                  <c:v>0.66041666666666454</c:v>
                </c:pt>
                <c:pt idx="952">
                  <c:v>0.66111111111110898</c:v>
                </c:pt>
                <c:pt idx="953">
                  <c:v>0.66180555555555343</c:v>
                </c:pt>
                <c:pt idx="954">
                  <c:v>0.66249999999999787</c:v>
                </c:pt>
                <c:pt idx="955">
                  <c:v>0.66319444444444231</c:v>
                </c:pt>
                <c:pt idx="956">
                  <c:v>0.66388888888888675</c:v>
                </c:pt>
                <c:pt idx="957">
                  <c:v>0.66458333333333119</c:v>
                </c:pt>
                <c:pt idx="958">
                  <c:v>0.66527777777777564</c:v>
                </c:pt>
                <c:pt idx="959">
                  <c:v>0.66597222222222008</c:v>
                </c:pt>
                <c:pt idx="960">
                  <c:v>0.66666666666666452</c:v>
                </c:pt>
                <c:pt idx="961">
                  <c:v>0.66736111111110896</c:v>
                </c:pt>
                <c:pt idx="962">
                  <c:v>0.6680555555555534</c:v>
                </c:pt>
                <c:pt idx="963">
                  <c:v>0.66874999999999785</c:v>
                </c:pt>
                <c:pt idx="964">
                  <c:v>0.66944444444444229</c:v>
                </c:pt>
                <c:pt idx="965">
                  <c:v>0.67013888888888673</c:v>
                </c:pt>
                <c:pt idx="966">
                  <c:v>0.67083333333333117</c:v>
                </c:pt>
                <c:pt idx="967">
                  <c:v>0.67152777777777561</c:v>
                </c:pt>
                <c:pt idx="968">
                  <c:v>0.67222222222222006</c:v>
                </c:pt>
                <c:pt idx="969">
                  <c:v>0.6729166666666645</c:v>
                </c:pt>
                <c:pt idx="970">
                  <c:v>0.67361111111110894</c:v>
                </c:pt>
                <c:pt idx="971">
                  <c:v>0.67430555555555338</c:v>
                </c:pt>
                <c:pt idx="972">
                  <c:v>0.67499999999999782</c:v>
                </c:pt>
                <c:pt idx="973">
                  <c:v>0.67569444444444227</c:v>
                </c:pt>
                <c:pt idx="974">
                  <c:v>0.67638888888888671</c:v>
                </c:pt>
                <c:pt idx="975">
                  <c:v>0.67708333333333115</c:v>
                </c:pt>
                <c:pt idx="976">
                  <c:v>0.67777777777777559</c:v>
                </c:pt>
                <c:pt idx="977">
                  <c:v>0.67847222222222003</c:v>
                </c:pt>
                <c:pt idx="978">
                  <c:v>0.67916666666666448</c:v>
                </c:pt>
                <c:pt idx="979">
                  <c:v>0.67986111111110892</c:v>
                </c:pt>
                <c:pt idx="980">
                  <c:v>0.68055555555555336</c:v>
                </c:pt>
                <c:pt idx="981">
                  <c:v>0.6812499999999978</c:v>
                </c:pt>
                <c:pt idx="982">
                  <c:v>0.68194444444444224</c:v>
                </c:pt>
                <c:pt idx="983">
                  <c:v>0.68263888888888669</c:v>
                </c:pt>
                <c:pt idx="984">
                  <c:v>0.68333333333333113</c:v>
                </c:pt>
                <c:pt idx="985">
                  <c:v>0.68402777777777557</c:v>
                </c:pt>
                <c:pt idx="986">
                  <c:v>0.68472222222222001</c:v>
                </c:pt>
                <c:pt idx="987">
                  <c:v>0.68541666666666445</c:v>
                </c:pt>
                <c:pt idx="988">
                  <c:v>0.6861111111111089</c:v>
                </c:pt>
                <c:pt idx="989">
                  <c:v>0.68680555555555334</c:v>
                </c:pt>
                <c:pt idx="990">
                  <c:v>0.68749999999999778</c:v>
                </c:pt>
                <c:pt idx="991">
                  <c:v>0.68819444444444222</c:v>
                </c:pt>
                <c:pt idx="992">
                  <c:v>0.68888888888888666</c:v>
                </c:pt>
                <c:pt idx="993">
                  <c:v>0.68958333333333111</c:v>
                </c:pt>
                <c:pt idx="994">
                  <c:v>0.69027777777777555</c:v>
                </c:pt>
                <c:pt idx="995">
                  <c:v>0.69097222222221999</c:v>
                </c:pt>
                <c:pt idx="996">
                  <c:v>0.69166666666666443</c:v>
                </c:pt>
                <c:pt idx="997">
                  <c:v>0.69236111111110887</c:v>
                </c:pt>
                <c:pt idx="998">
                  <c:v>0.69305555555555332</c:v>
                </c:pt>
                <c:pt idx="999">
                  <c:v>0.69374999999999776</c:v>
                </c:pt>
                <c:pt idx="1000">
                  <c:v>0.6944444444444422</c:v>
                </c:pt>
                <c:pt idx="1001">
                  <c:v>0.69513888888888664</c:v>
                </c:pt>
                <c:pt idx="1002">
                  <c:v>0.69583333333333108</c:v>
                </c:pt>
                <c:pt idx="1003">
                  <c:v>0.69652777777777553</c:v>
                </c:pt>
                <c:pt idx="1004">
                  <c:v>0.69722222222221997</c:v>
                </c:pt>
                <c:pt idx="1005">
                  <c:v>0.69791666666666441</c:v>
                </c:pt>
                <c:pt idx="1006">
                  <c:v>0.69861111111110885</c:v>
                </c:pt>
                <c:pt idx="1007">
                  <c:v>0.69930555555555329</c:v>
                </c:pt>
                <c:pt idx="1008">
                  <c:v>0.69999999999999774</c:v>
                </c:pt>
                <c:pt idx="1009">
                  <c:v>0.70069444444444218</c:v>
                </c:pt>
                <c:pt idx="1010">
                  <c:v>0.70138888888888662</c:v>
                </c:pt>
                <c:pt idx="1011">
                  <c:v>0.70208333333333106</c:v>
                </c:pt>
                <c:pt idx="1012">
                  <c:v>0.7027777777777755</c:v>
                </c:pt>
                <c:pt idx="1013">
                  <c:v>0.70347222222221995</c:v>
                </c:pt>
                <c:pt idx="1014">
                  <c:v>0.70416666666666439</c:v>
                </c:pt>
                <c:pt idx="1015">
                  <c:v>0.70486111111110883</c:v>
                </c:pt>
                <c:pt idx="1016">
                  <c:v>0.70555555555555327</c:v>
                </c:pt>
                <c:pt idx="1017">
                  <c:v>0.70624999999999771</c:v>
                </c:pt>
                <c:pt idx="1018">
                  <c:v>0.70694444444444215</c:v>
                </c:pt>
                <c:pt idx="1019">
                  <c:v>0.7076388888888866</c:v>
                </c:pt>
                <c:pt idx="1020">
                  <c:v>0.70833333333333104</c:v>
                </c:pt>
                <c:pt idx="1021">
                  <c:v>0.70902777777777548</c:v>
                </c:pt>
                <c:pt idx="1022">
                  <c:v>0.70972222222221992</c:v>
                </c:pt>
                <c:pt idx="1023">
                  <c:v>0.71041666666666436</c:v>
                </c:pt>
                <c:pt idx="1024">
                  <c:v>0.71111111111110881</c:v>
                </c:pt>
                <c:pt idx="1025">
                  <c:v>0.71180555555555325</c:v>
                </c:pt>
                <c:pt idx="1026">
                  <c:v>0.71249999999999769</c:v>
                </c:pt>
                <c:pt idx="1027">
                  <c:v>0.71319444444444213</c:v>
                </c:pt>
                <c:pt idx="1028">
                  <c:v>0.71388888888888657</c:v>
                </c:pt>
                <c:pt idx="1029">
                  <c:v>0.71458333333333102</c:v>
                </c:pt>
                <c:pt idx="1030">
                  <c:v>0.71527777777777546</c:v>
                </c:pt>
                <c:pt idx="1031">
                  <c:v>0.7159722222222199</c:v>
                </c:pt>
                <c:pt idx="1032">
                  <c:v>0.71666666666666434</c:v>
                </c:pt>
                <c:pt idx="1033">
                  <c:v>0.71736111111110878</c:v>
                </c:pt>
                <c:pt idx="1034">
                  <c:v>0.71805555555555323</c:v>
                </c:pt>
                <c:pt idx="1035">
                  <c:v>0.71874999999999767</c:v>
                </c:pt>
                <c:pt idx="1036">
                  <c:v>0.71944444444444211</c:v>
                </c:pt>
                <c:pt idx="1037">
                  <c:v>0.72013888888888655</c:v>
                </c:pt>
                <c:pt idx="1038">
                  <c:v>0.72083333333333099</c:v>
                </c:pt>
                <c:pt idx="1039">
                  <c:v>0.72152777777777544</c:v>
                </c:pt>
                <c:pt idx="1040">
                  <c:v>0.72222222222221988</c:v>
                </c:pt>
                <c:pt idx="1041">
                  <c:v>0.72291666666666432</c:v>
                </c:pt>
                <c:pt idx="1042">
                  <c:v>0.72361111111110876</c:v>
                </c:pt>
                <c:pt idx="1043">
                  <c:v>0.7243055555555532</c:v>
                </c:pt>
                <c:pt idx="1044">
                  <c:v>0.72499999999999765</c:v>
                </c:pt>
                <c:pt idx="1045">
                  <c:v>0.72569444444444209</c:v>
                </c:pt>
                <c:pt idx="1046">
                  <c:v>0.72638888888888653</c:v>
                </c:pt>
                <c:pt idx="1047">
                  <c:v>0.72708333333333097</c:v>
                </c:pt>
                <c:pt idx="1048">
                  <c:v>0.72777777777777541</c:v>
                </c:pt>
                <c:pt idx="1049">
                  <c:v>0.72847222222221986</c:v>
                </c:pt>
                <c:pt idx="1050">
                  <c:v>0.7291666666666643</c:v>
                </c:pt>
                <c:pt idx="1051">
                  <c:v>0.72986111111110874</c:v>
                </c:pt>
                <c:pt idx="1052">
                  <c:v>0.73055555555555318</c:v>
                </c:pt>
                <c:pt idx="1053">
                  <c:v>0.73124999999999762</c:v>
                </c:pt>
                <c:pt idx="1054">
                  <c:v>0.73194444444444207</c:v>
                </c:pt>
                <c:pt idx="1055">
                  <c:v>0.73263888888888651</c:v>
                </c:pt>
                <c:pt idx="1056">
                  <c:v>0.73333333333333095</c:v>
                </c:pt>
                <c:pt idx="1057">
                  <c:v>0.73402777777777539</c:v>
                </c:pt>
                <c:pt idx="1058">
                  <c:v>0.73472222222221983</c:v>
                </c:pt>
                <c:pt idx="1059">
                  <c:v>0.73541666666666428</c:v>
                </c:pt>
                <c:pt idx="1060">
                  <c:v>0.73611111111110872</c:v>
                </c:pt>
                <c:pt idx="1061">
                  <c:v>0.73680555555555316</c:v>
                </c:pt>
                <c:pt idx="1062">
                  <c:v>0.7374999999999976</c:v>
                </c:pt>
                <c:pt idx="1063">
                  <c:v>0.73819444444444204</c:v>
                </c:pt>
                <c:pt idx="1064">
                  <c:v>0.73888888888888649</c:v>
                </c:pt>
                <c:pt idx="1065">
                  <c:v>0.73958333333333093</c:v>
                </c:pt>
                <c:pt idx="1066">
                  <c:v>0.74027777777777537</c:v>
                </c:pt>
                <c:pt idx="1067">
                  <c:v>0.74097222222221981</c:v>
                </c:pt>
                <c:pt idx="1068">
                  <c:v>0.74166666666666425</c:v>
                </c:pt>
                <c:pt idx="1069">
                  <c:v>0.7423611111111087</c:v>
                </c:pt>
                <c:pt idx="1070">
                  <c:v>0.74305555555555314</c:v>
                </c:pt>
                <c:pt idx="1071">
                  <c:v>0.74374999999999758</c:v>
                </c:pt>
                <c:pt idx="1072">
                  <c:v>0.74444444444444202</c:v>
                </c:pt>
                <c:pt idx="1073">
                  <c:v>0.74513888888888646</c:v>
                </c:pt>
                <c:pt idx="1074">
                  <c:v>0.74583333333333091</c:v>
                </c:pt>
                <c:pt idx="1075">
                  <c:v>0.74652777777777535</c:v>
                </c:pt>
                <c:pt idx="1076">
                  <c:v>0.74722222222221979</c:v>
                </c:pt>
                <c:pt idx="1077">
                  <c:v>0.74791666666666423</c:v>
                </c:pt>
                <c:pt idx="1078">
                  <c:v>0.74861111111110867</c:v>
                </c:pt>
                <c:pt idx="1079">
                  <c:v>0.74930555555555312</c:v>
                </c:pt>
                <c:pt idx="1080">
                  <c:v>0.74999999999999756</c:v>
                </c:pt>
                <c:pt idx="1081">
                  <c:v>0.750694444444442</c:v>
                </c:pt>
                <c:pt idx="1082">
                  <c:v>0.75138888888888644</c:v>
                </c:pt>
                <c:pt idx="1083">
                  <c:v>0.75208333333333088</c:v>
                </c:pt>
                <c:pt idx="1084">
                  <c:v>0.75277777777777533</c:v>
                </c:pt>
                <c:pt idx="1085">
                  <c:v>0.75347222222221977</c:v>
                </c:pt>
                <c:pt idx="1086">
                  <c:v>0.75416666666666421</c:v>
                </c:pt>
                <c:pt idx="1087">
                  <c:v>0.75486111111110865</c:v>
                </c:pt>
                <c:pt idx="1088">
                  <c:v>0.75555555555555309</c:v>
                </c:pt>
                <c:pt idx="1089">
                  <c:v>0.75624999999999754</c:v>
                </c:pt>
                <c:pt idx="1090">
                  <c:v>0.75694444444444198</c:v>
                </c:pt>
                <c:pt idx="1091">
                  <c:v>0.75763888888888642</c:v>
                </c:pt>
                <c:pt idx="1092">
                  <c:v>0.75833333333333086</c:v>
                </c:pt>
                <c:pt idx="1093">
                  <c:v>0.7590277777777753</c:v>
                </c:pt>
                <c:pt idx="1094">
                  <c:v>0.75972222222221975</c:v>
                </c:pt>
                <c:pt idx="1095">
                  <c:v>0.76041666666666419</c:v>
                </c:pt>
                <c:pt idx="1096">
                  <c:v>0.76111111111110863</c:v>
                </c:pt>
                <c:pt idx="1097">
                  <c:v>0.76180555555555307</c:v>
                </c:pt>
                <c:pt idx="1098">
                  <c:v>0.76249999999999751</c:v>
                </c:pt>
                <c:pt idx="1099">
                  <c:v>0.76319444444444196</c:v>
                </c:pt>
                <c:pt idx="1100">
                  <c:v>0.7638888888888864</c:v>
                </c:pt>
                <c:pt idx="1101">
                  <c:v>0.76458333333333084</c:v>
                </c:pt>
                <c:pt idx="1102">
                  <c:v>0.76527777777777528</c:v>
                </c:pt>
                <c:pt idx="1103">
                  <c:v>0.76597222222221972</c:v>
                </c:pt>
                <c:pt idx="1104">
                  <c:v>0.76666666666666416</c:v>
                </c:pt>
                <c:pt idx="1105">
                  <c:v>0.76736111111110861</c:v>
                </c:pt>
                <c:pt idx="1106">
                  <c:v>0.76805555555555305</c:v>
                </c:pt>
                <c:pt idx="1107">
                  <c:v>0.76874999999999749</c:v>
                </c:pt>
                <c:pt idx="1108">
                  <c:v>0.76944444444444193</c:v>
                </c:pt>
                <c:pt idx="1109">
                  <c:v>0.77013888888888637</c:v>
                </c:pt>
                <c:pt idx="1110">
                  <c:v>0.77083333333333082</c:v>
                </c:pt>
                <c:pt idx="1111">
                  <c:v>0.77152777777777526</c:v>
                </c:pt>
                <c:pt idx="1112">
                  <c:v>0.7722222222222197</c:v>
                </c:pt>
                <c:pt idx="1113">
                  <c:v>0.77291666666666414</c:v>
                </c:pt>
                <c:pt idx="1114">
                  <c:v>0.77361111111110858</c:v>
                </c:pt>
                <c:pt idx="1115">
                  <c:v>0.77430555555555303</c:v>
                </c:pt>
                <c:pt idx="1116">
                  <c:v>0.77499999999999747</c:v>
                </c:pt>
                <c:pt idx="1117">
                  <c:v>0.77569444444444191</c:v>
                </c:pt>
                <c:pt idx="1118">
                  <c:v>0.77638888888888635</c:v>
                </c:pt>
                <c:pt idx="1119">
                  <c:v>0.77708333333333079</c:v>
                </c:pt>
                <c:pt idx="1120">
                  <c:v>0.77777777777777524</c:v>
                </c:pt>
                <c:pt idx="1121">
                  <c:v>0.77847222222221968</c:v>
                </c:pt>
                <c:pt idx="1122">
                  <c:v>0.77916666666666412</c:v>
                </c:pt>
                <c:pt idx="1123">
                  <c:v>0.77986111111110856</c:v>
                </c:pt>
                <c:pt idx="1124">
                  <c:v>0.780555555555553</c:v>
                </c:pt>
                <c:pt idx="1125">
                  <c:v>0.78124999999999745</c:v>
                </c:pt>
                <c:pt idx="1126">
                  <c:v>0.78194444444444189</c:v>
                </c:pt>
                <c:pt idx="1127">
                  <c:v>0.78263888888888633</c:v>
                </c:pt>
                <c:pt idx="1128">
                  <c:v>0.78333333333333077</c:v>
                </c:pt>
                <c:pt idx="1129">
                  <c:v>0.78402777777777521</c:v>
                </c:pt>
                <c:pt idx="1130">
                  <c:v>0.78472222222221966</c:v>
                </c:pt>
                <c:pt idx="1131">
                  <c:v>0.7854166666666641</c:v>
                </c:pt>
                <c:pt idx="1132">
                  <c:v>0.78611111111110854</c:v>
                </c:pt>
                <c:pt idx="1133">
                  <c:v>0.78680555555555298</c:v>
                </c:pt>
                <c:pt idx="1134">
                  <c:v>0.78749999999999742</c:v>
                </c:pt>
                <c:pt idx="1135">
                  <c:v>0.78819444444444187</c:v>
                </c:pt>
                <c:pt idx="1136">
                  <c:v>0.78888888888888631</c:v>
                </c:pt>
                <c:pt idx="1137">
                  <c:v>0.78958333333333075</c:v>
                </c:pt>
                <c:pt idx="1138">
                  <c:v>0.79027777777777519</c:v>
                </c:pt>
                <c:pt idx="1139">
                  <c:v>0.79097222222221963</c:v>
                </c:pt>
                <c:pt idx="1140">
                  <c:v>0.79166666666666408</c:v>
                </c:pt>
                <c:pt idx="1141">
                  <c:v>0.79236111111110852</c:v>
                </c:pt>
                <c:pt idx="1142">
                  <c:v>0.79305555555555296</c:v>
                </c:pt>
                <c:pt idx="1143">
                  <c:v>0.7937499999999974</c:v>
                </c:pt>
                <c:pt idx="1144">
                  <c:v>0.79444444444444184</c:v>
                </c:pt>
                <c:pt idx="1145">
                  <c:v>0.79513888888888629</c:v>
                </c:pt>
                <c:pt idx="1146">
                  <c:v>0.79583333333333073</c:v>
                </c:pt>
                <c:pt idx="1147">
                  <c:v>0.79652777777777517</c:v>
                </c:pt>
                <c:pt idx="1148">
                  <c:v>0.79722222222221961</c:v>
                </c:pt>
                <c:pt idx="1149">
                  <c:v>0.79791666666666405</c:v>
                </c:pt>
                <c:pt idx="1150">
                  <c:v>0.7986111111111085</c:v>
                </c:pt>
                <c:pt idx="1151">
                  <c:v>0.79930555555555294</c:v>
                </c:pt>
                <c:pt idx="1152">
                  <c:v>0.79999999999999738</c:v>
                </c:pt>
                <c:pt idx="1153">
                  <c:v>0.80069444444444182</c:v>
                </c:pt>
                <c:pt idx="1154">
                  <c:v>0.80138888888888626</c:v>
                </c:pt>
                <c:pt idx="1155">
                  <c:v>0.80208333333333071</c:v>
                </c:pt>
                <c:pt idx="1156">
                  <c:v>0.80277777777777515</c:v>
                </c:pt>
                <c:pt idx="1157">
                  <c:v>0.80347222222221959</c:v>
                </c:pt>
                <c:pt idx="1158">
                  <c:v>0.80416666666666403</c:v>
                </c:pt>
                <c:pt idx="1159">
                  <c:v>0.80486111111110847</c:v>
                </c:pt>
                <c:pt idx="1160">
                  <c:v>0.80555555555555292</c:v>
                </c:pt>
                <c:pt idx="1161">
                  <c:v>0.80624999999999736</c:v>
                </c:pt>
                <c:pt idx="1162">
                  <c:v>0.8069444444444418</c:v>
                </c:pt>
                <c:pt idx="1163">
                  <c:v>0.80763888888888624</c:v>
                </c:pt>
                <c:pt idx="1164">
                  <c:v>0.80833333333333068</c:v>
                </c:pt>
                <c:pt idx="1165">
                  <c:v>0.80902777777777513</c:v>
                </c:pt>
                <c:pt idx="1166">
                  <c:v>0.80972222222221957</c:v>
                </c:pt>
                <c:pt idx="1167">
                  <c:v>0.81041666666666401</c:v>
                </c:pt>
                <c:pt idx="1168">
                  <c:v>0.81111111111110845</c:v>
                </c:pt>
                <c:pt idx="1169">
                  <c:v>0.81180555555555289</c:v>
                </c:pt>
                <c:pt idx="1170">
                  <c:v>0.81249999999999734</c:v>
                </c:pt>
                <c:pt idx="1171">
                  <c:v>0.81319444444444178</c:v>
                </c:pt>
                <c:pt idx="1172">
                  <c:v>0.81388888888888622</c:v>
                </c:pt>
                <c:pt idx="1173">
                  <c:v>0.81458333333333066</c:v>
                </c:pt>
                <c:pt idx="1174">
                  <c:v>0.8152777777777751</c:v>
                </c:pt>
                <c:pt idx="1175">
                  <c:v>0.81597222222221955</c:v>
                </c:pt>
                <c:pt idx="1176">
                  <c:v>0.81666666666666399</c:v>
                </c:pt>
                <c:pt idx="1177">
                  <c:v>0.81736111111110843</c:v>
                </c:pt>
                <c:pt idx="1178">
                  <c:v>0.81805555555555287</c:v>
                </c:pt>
                <c:pt idx="1179">
                  <c:v>0.81874999999999731</c:v>
                </c:pt>
                <c:pt idx="1180">
                  <c:v>0.81944444444444176</c:v>
                </c:pt>
                <c:pt idx="1181">
                  <c:v>0.8201388888888862</c:v>
                </c:pt>
                <c:pt idx="1182">
                  <c:v>0.82083333333333064</c:v>
                </c:pt>
                <c:pt idx="1183">
                  <c:v>0.82152777777777508</c:v>
                </c:pt>
                <c:pt idx="1184">
                  <c:v>0.82222222222221952</c:v>
                </c:pt>
                <c:pt idx="1185">
                  <c:v>0.82291666666666397</c:v>
                </c:pt>
                <c:pt idx="1186">
                  <c:v>0.82361111111110841</c:v>
                </c:pt>
                <c:pt idx="1187">
                  <c:v>0.82430555555555285</c:v>
                </c:pt>
                <c:pt idx="1188">
                  <c:v>0.82499999999999729</c:v>
                </c:pt>
                <c:pt idx="1189">
                  <c:v>0.82569444444444173</c:v>
                </c:pt>
                <c:pt idx="1190">
                  <c:v>0.82638888888888618</c:v>
                </c:pt>
                <c:pt idx="1191">
                  <c:v>0.82708333333333062</c:v>
                </c:pt>
                <c:pt idx="1192">
                  <c:v>0.82777777777777506</c:v>
                </c:pt>
                <c:pt idx="1193">
                  <c:v>0.8284722222222195</c:v>
                </c:pt>
                <c:pt idx="1194">
                  <c:v>0.82916666666666394</c:v>
                </c:pt>
                <c:pt idx="1195">
                  <c:v>0.82986111111110838</c:v>
                </c:pt>
                <c:pt idx="1196">
                  <c:v>0.83055555555555283</c:v>
                </c:pt>
                <c:pt idx="1197">
                  <c:v>0.83124999999999727</c:v>
                </c:pt>
                <c:pt idx="1198">
                  <c:v>0.83194444444444171</c:v>
                </c:pt>
                <c:pt idx="1199">
                  <c:v>0.83263888888888615</c:v>
                </c:pt>
                <c:pt idx="1200">
                  <c:v>0.83333333333333059</c:v>
                </c:pt>
                <c:pt idx="1201">
                  <c:v>0.83402777777777504</c:v>
                </c:pt>
                <c:pt idx="1202">
                  <c:v>0.83472222222221948</c:v>
                </c:pt>
                <c:pt idx="1203">
                  <c:v>0.83541666666666392</c:v>
                </c:pt>
                <c:pt idx="1204">
                  <c:v>0.83611111111110836</c:v>
                </c:pt>
                <c:pt idx="1205">
                  <c:v>0.8368055555555528</c:v>
                </c:pt>
                <c:pt idx="1206">
                  <c:v>0.83749999999999725</c:v>
                </c:pt>
                <c:pt idx="1207">
                  <c:v>0.83819444444444169</c:v>
                </c:pt>
                <c:pt idx="1208">
                  <c:v>0.83888888888888613</c:v>
                </c:pt>
                <c:pt idx="1209">
                  <c:v>0.83958333333333057</c:v>
                </c:pt>
                <c:pt idx="1210">
                  <c:v>0.84027777777777501</c:v>
                </c:pt>
                <c:pt idx="1211">
                  <c:v>0.84097222222221946</c:v>
                </c:pt>
                <c:pt idx="1212">
                  <c:v>0.8416666666666639</c:v>
                </c:pt>
                <c:pt idx="1213">
                  <c:v>0.84236111111110834</c:v>
                </c:pt>
                <c:pt idx="1214">
                  <c:v>0.84305555555555278</c:v>
                </c:pt>
                <c:pt idx="1215">
                  <c:v>0.84374999999999722</c:v>
                </c:pt>
                <c:pt idx="1216">
                  <c:v>0.84444444444444167</c:v>
                </c:pt>
                <c:pt idx="1217">
                  <c:v>0.84513888888888611</c:v>
                </c:pt>
                <c:pt idx="1218">
                  <c:v>0.84583333333333055</c:v>
                </c:pt>
                <c:pt idx="1219">
                  <c:v>0.84652777777777499</c:v>
                </c:pt>
                <c:pt idx="1220">
                  <c:v>0.84722222222221943</c:v>
                </c:pt>
                <c:pt idx="1221">
                  <c:v>0.84791666666666388</c:v>
                </c:pt>
                <c:pt idx="1222">
                  <c:v>0.84861111111110832</c:v>
                </c:pt>
                <c:pt idx="1223">
                  <c:v>0.84930555555555276</c:v>
                </c:pt>
                <c:pt idx="1224">
                  <c:v>0.8499999999999972</c:v>
                </c:pt>
                <c:pt idx="1225">
                  <c:v>0.85069444444444164</c:v>
                </c:pt>
                <c:pt idx="1226">
                  <c:v>0.85138888888888609</c:v>
                </c:pt>
                <c:pt idx="1227">
                  <c:v>0.85208333333333053</c:v>
                </c:pt>
                <c:pt idx="1228">
                  <c:v>0.85277777777777497</c:v>
                </c:pt>
                <c:pt idx="1229">
                  <c:v>0.85347222222221941</c:v>
                </c:pt>
                <c:pt idx="1230">
                  <c:v>0.85416666666666385</c:v>
                </c:pt>
                <c:pt idx="1231">
                  <c:v>0.8548611111111083</c:v>
                </c:pt>
                <c:pt idx="1232">
                  <c:v>0.85555555555555274</c:v>
                </c:pt>
                <c:pt idx="1233">
                  <c:v>0.85624999999999718</c:v>
                </c:pt>
                <c:pt idx="1234">
                  <c:v>0.85694444444444162</c:v>
                </c:pt>
                <c:pt idx="1235">
                  <c:v>0.85763888888888606</c:v>
                </c:pt>
                <c:pt idx="1236">
                  <c:v>0.85833333333333051</c:v>
                </c:pt>
                <c:pt idx="1237">
                  <c:v>0.85902777777777495</c:v>
                </c:pt>
                <c:pt idx="1238">
                  <c:v>0.85972222222221939</c:v>
                </c:pt>
                <c:pt idx="1239">
                  <c:v>0.86041666666666383</c:v>
                </c:pt>
                <c:pt idx="1240">
                  <c:v>0.86111111111110827</c:v>
                </c:pt>
                <c:pt idx="1241">
                  <c:v>0.86180555555555272</c:v>
                </c:pt>
                <c:pt idx="1242">
                  <c:v>0.86249999999999716</c:v>
                </c:pt>
                <c:pt idx="1243">
                  <c:v>0.8631944444444416</c:v>
                </c:pt>
                <c:pt idx="1244">
                  <c:v>0.86388888888888604</c:v>
                </c:pt>
                <c:pt idx="1245">
                  <c:v>0.86458333333333048</c:v>
                </c:pt>
                <c:pt idx="1246">
                  <c:v>0.86527777777777493</c:v>
                </c:pt>
                <c:pt idx="1247">
                  <c:v>0.86597222222221937</c:v>
                </c:pt>
                <c:pt idx="1248">
                  <c:v>0.86666666666666381</c:v>
                </c:pt>
                <c:pt idx="1249">
                  <c:v>0.86736111111110825</c:v>
                </c:pt>
                <c:pt idx="1250">
                  <c:v>0.86805555555555269</c:v>
                </c:pt>
                <c:pt idx="1251">
                  <c:v>0.86874999999999714</c:v>
                </c:pt>
                <c:pt idx="1252">
                  <c:v>0.86944444444444158</c:v>
                </c:pt>
                <c:pt idx="1253">
                  <c:v>0.87013888888888602</c:v>
                </c:pt>
                <c:pt idx="1254">
                  <c:v>0.87083333333333046</c:v>
                </c:pt>
                <c:pt idx="1255">
                  <c:v>0.8715277777777749</c:v>
                </c:pt>
                <c:pt idx="1256">
                  <c:v>0.87222222222221935</c:v>
                </c:pt>
                <c:pt idx="1257">
                  <c:v>0.87291666666666379</c:v>
                </c:pt>
                <c:pt idx="1258">
                  <c:v>0.87361111111110823</c:v>
                </c:pt>
                <c:pt idx="1259">
                  <c:v>0.87430555555555267</c:v>
                </c:pt>
                <c:pt idx="1260">
                  <c:v>0.87499999999999711</c:v>
                </c:pt>
                <c:pt idx="1261">
                  <c:v>0.87569444444444156</c:v>
                </c:pt>
                <c:pt idx="1262">
                  <c:v>0.876388888888886</c:v>
                </c:pt>
                <c:pt idx="1263">
                  <c:v>0.87708333333333044</c:v>
                </c:pt>
                <c:pt idx="1264">
                  <c:v>0.87777777777777488</c:v>
                </c:pt>
                <c:pt idx="1265">
                  <c:v>0.87847222222221932</c:v>
                </c:pt>
                <c:pt idx="1266">
                  <c:v>0.87916666666666377</c:v>
                </c:pt>
                <c:pt idx="1267">
                  <c:v>0.87986111111110821</c:v>
                </c:pt>
                <c:pt idx="1268">
                  <c:v>0.88055555555555265</c:v>
                </c:pt>
                <c:pt idx="1269">
                  <c:v>0.88124999999999709</c:v>
                </c:pt>
                <c:pt idx="1270">
                  <c:v>0.88194444444444153</c:v>
                </c:pt>
                <c:pt idx="1271">
                  <c:v>0.88263888888888598</c:v>
                </c:pt>
                <c:pt idx="1272">
                  <c:v>0.88333333333333042</c:v>
                </c:pt>
                <c:pt idx="1273">
                  <c:v>0.88402777777777486</c:v>
                </c:pt>
                <c:pt idx="1274">
                  <c:v>0.8847222222222193</c:v>
                </c:pt>
                <c:pt idx="1275">
                  <c:v>0.88541666666666374</c:v>
                </c:pt>
                <c:pt idx="1276">
                  <c:v>0.88611111111110819</c:v>
                </c:pt>
                <c:pt idx="1277">
                  <c:v>0.88680555555555263</c:v>
                </c:pt>
                <c:pt idx="1278">
                  <c:v>0.88749999999999707</c:v>
                </c:pt>
                <c:pt idx="1279">
                  <c:v>0.88819444444444151</c:v>
                </c:pt>
                <c:pt idx="1280">
                  <c:v>0.88888888888888595</c:v>
                </c:pt>
                <c:pt idx="1281">
                  <c:v>0.88958333333333039</c:v>
                </c:pt>
                <c:pt idx="1282">
                  <c:v>0.89027777777777484</c:v>
                </c:pt>
                <c:pt idx="1283">
                  <c:v>0.89097222222221928</c:v>
                </c:pt>
                <c:pt idx="1284">
                  <c:v>0.89166666666666372</c:v>
                </c:pt>
                <c:pt idx="1285">
                  <c:v>0.89236111111110816</c:v>
                </c:pt>
                <c:pt idx="1286">
                  <c:v>0.8930555555555526</c:v>
                </c:pt>
                <c:pt idx="1287">
                  <c:v>0.89374999999999705</c:v>
                </c:pt>
                <c:pt idx="1288">
                  <c:v>0.89444444444444149</c:v>
                </c:pt>
                <c:pt idx="1289">
                  <c:v>0.89513888888888593</c:v>
                </c:pt>
                <c:pt idx="1290">
                  <c:v>0.89583333333333037</c:v>
                </c:pt>
                <c:pt idx="1291">
                  <c:v>0.89652777777777481</c:v>
                </c:pt>
                <c:pt idx="1292">
                  <c:v>0.89722222222221926</c:v>
                </c:pt>
                <c:pt idx="1293">
                  <c:v>0.8979166666666637</c:v>
                </c:pt>
                <c:pt idx="1294">
                  <c:v>0.89861111111110814</c:v>
                </c:pt>
                <c:pt idx="1295">
                  <c:v>0.89930555555555258</c:v>
                </c:pt>
                <c:pt idx="1296">
                  <c:v>0.89999999999999702</c:v>
                </c:pt>
                <c:pt idx="1297">
                  <c:v>0.90069444444444147</c:v>
                </c:pt>
                <c:pt idx="1298">
                  <c:v>0.90138888888888591</c:v>
                </c:pt>
                <c:pt idx="1299">
                  <c:v>0.90208333333333035</c:v>
                </c:pt>
                <c:pt idx="1300">
                  <c:v>0.90277777777777479</c:v>
                </c:pt>
                <c:pt idx="1301">
                  <c:v>0.90347222222221923</c:v>
                </c:pt>
                <c:pt idx="1302">
                  <c:v>0.90416666666666368</c:v>
                </c:pt>
                <c:pt idx="1303">
                  <c:v>0.90486111111110812</c:v>
                </c:pt>
                <c:pt idx="1304">
                  <c:v>0.90555555555555256</c:v>
                </c:pt>
                <c:pt idx="1305">
                  <c:v>0.906249999999997</c:v>
                </c:pt>
                <c:pt idx="1306">
                  <c:v>0.90694444444444144</c:v>
                </c:pt>
                <c:pt idx="1307">
                  <c:v>0.90763888888888589</c:v>
                </c:pt>
                <c:pt idx="1308">
                  <c:v>0.90833333333333033</c:v>
                </c:pt>
                <c:pt idx="1309">
                  <c:v>0.90902777777777477</c:v>
                </c:pt>
                <c:pt idx="1310">
                  <c:v>0.90972222222221921</c:v>
                </c:pt>
                <c:pt idx="1311">
                  <c:v>0.91041666666666365</c:v>
                </c:pt>
                <c:pt idx="1312">
                  <c:v>0.9111111111111081</c:v>
                </c:pt>
                <c:pt idx="1313">
                  <c:v>0.91180555555555254</c:v>
                </c:pt>
                <c:pt idx="1314">
                  <c:v>0.91249999999999698</c:v>
                </c:pt>
                <c:pt idx="1315">
                  <c:v>0.91319444444444142</c:v>
                </c:pt>
                <c:pt idx="1316">
                  <c:v>0.91388888888888586</c:v>
                </c:pt>
                <c:pt idx="1317">
                  <c:v>0.91458333333333031</c:v>
                </c:pt>
                <c:pt idx="1318">
                  <c:v>0.91527777777777475</c:v>
                </c:pt>
                <c:pt idx="1319">
                  <c:v>0.91597222222221919</c:v>
                </c:pt>
                <c:pt idx="1320">
                  <c:v>0.91666666666666363</c:v>
                </c:pt>
                <c:pt idx="1321">
                  <c:v>0.91736111111110807</c:v>
                </c:pt>
                <c:pt idx="1322">
                  <c:v>0.91805555555555252</c:v>
                </c:pt>
                <c:pt idx="1323">
                  <c:v>0.91874999999999696</c:v>
                </c:pt>
                <c:pt idx="1324">
                  <c:v>0.9194444444444414</c:v>
                </c:pt>
                <c:pt idx="1325">
                  <c:v>0.92013888888888584</c:v>
                </c:pt>
                <c:pt idx="1326">
                  <c:v>0.92083333333333028</c:v>
                </c:pt>
                <c:pt idx="1327">
                  <c:v>0.92152777777777473</c:v>
                </c:pt>
                <c:pt idx="1328">
                  <c:v>0.92222222222221917</c:v>
                </c:pt>
                <c:pt idx="1329">
                  <c:v>0.92291666666666361</c:v>
                </c:pt>
                <c:pt idx="1330">
                  <c:v>0.92361111111110805</c:v>
                </c:pt>
                <c:pt idx="1331">
                  <c:v>0.92430555555555249</c:v>
                </c:pt>
                <c:pt idx="1332">
                  <c:v>0.92499999999999694</c:v>
                </c:pt>
                <c:pt idx="1333">
                  <c:v>0.92569444444444138</c:v>
                </c:pt>
                <c:pt idx="1334">
                  <c:v>0.92638888888888582</c:v>
                </c:pt>
                <c:pt idx="1335">
                  <c:v>0.92708333333333026</c:v>
                </c:pt>
                <c:pt idx="1336">
                  <c:v>0.9277777777777747</c:v>
                </c:pt>
                <c:pt idx="1337">
                  <c:v>0.92847222222221915</c:v>
                </c:pt>
                <c:pt idx="1338">
                  <c:v>0.92916666666666359</c:v>
                </c:pt>
                <c:pt idx="1339">
                  <c:v>0.92986111111110803</c:v>
                </c:pt>
                <c:pt idx="1340">
                  <c:v>0.93055555555555247</c:v>
                </c:pt>
                <c:pt idx="1341">
                  <c:v>0.93124999999999691</c:v>
                </c:pt>
                <c:pt idx="1342">
                  <c:v>0.93194444444444136</c:v>
                </c:pt>
                <c:pt idx="1343">
                  <c:v>0.9326388888888858</c:v>
                </c:pt>
                <c:pt idx="1344">
                  <c:v>0.93333333333333024</c:v>
                </c:pt>
                <c:pt idx="1345">
                  <c:v>0.93402777777777468</c:v>
                </c:pt>
                <c:pt idx="1346">
                  <c:v>0.93472222222221912</c:v>
                </c:pt>
                <c:pt idx="1347">
                  <c:v>0.93541666666666357</c:v>
                </c:pt>
                <c:pt idx="1348">
                  <c:v>0.93611111111110801</c:v>
                </c:pt>
                <c:pt idx="1349">
                  <c:v>0.93680555555555245</c:v>
                </c:pt>
                <c:pt idx="1350">
                  <c:v>0.93749999999999689</c:v>
                </c:pt>
                <c:pt idx="1351">
                  <c:v>0.93819444444444133</c:v>
                </c:pt>
                <c:pt idx="1352">
                  <c:v>0.93888888888888578</c:v>
                </c:pt>
                <c:pt idx="1353">
                  <c:v>0.93958333333333022</c:v>
                </c:pt>
                <c:pt idx="1354">
                  <c:v>0.94027777777777466</c:v>
                </c:pt>
                <c:pt idx="1355">
                  <c:v>0.9409722222222191</c:v>
                </c:pt>
                <c:pt idx="1356">
                  <c:v>0.94166666666666354</c:v>
                </c:pt>
                <c:pt idx="1357">
                  <c:v>0.94236111111110799</c:v>
                </c:pt>
                <c:pt idx="1358">
                  <c:v>0.94305555555555243</c:v>
                </c:pt>
                <c:pt idx="1359">
                  <c:v>0.94374999999999687</c:v>
                </c:pt>
                <c:pt idx="1360">
                  <c:v>0.94444444444444131</c:v>
                </c:pt>
                <c:pt idx="1361">
                  <c:v>0.94513888888888575</c:v>
                </c:pt>
                <c:pt idx="1362">
                  <c:v>0.9458333333333302</c:v>
                </c:pt>
                <c:pt idx="1363">
                  <c:v>0.94652777777777464</c:v>
                </c:pt>
                <c:pt idx="1364">
                  <c:v>0.94722222222221908</c:v>
                </c:pt>
                <c:pt idx="1365">
                  <c:v>0.94791666666666352</c:v>
                </c:pt>
                <c:pt idx="1366">
                  <c:v>0.94861111111110796</c:v>
                </c:pt>
                <c:pt idx="1367">
                  <c:v>0.9493055555555524</c:v>
                </c:pt>
                <c:pt idx="1368">
                  <c:v>0.94999999999999685</c:v>
                </c:pt>
                <c:pt idx="1369">
                  <c:v>0.95069444444444129</c:v>
                </c:pt>
                <c:pt idx="1370">
                  <c:v>0.95138888888888573</c:v>
                </c:pt>
                <c:pt idx="1371">
                  <c:v>0.95208333333333017</c:v>
                </c:pt>
                <c:pt idx="1372">
                  <c:v>0.95277777777777461</c:v>
                </c:pt>
                <c:pt idx="1373">
                  <c:v>0.95347222222221906</c:v>
                </c:pt>
                <c:pt idx="1374">
                  <c:v>0.9541666666666635</c:v>
                </c:pt>
                <c:pt idx="1375">
                  <c:v>0.95486111111110794</c:v>
                </c:pt>
                <c:pt idx="1376">
                  <c:v>0.95555555555555238</c:v>
                </c:pt>
                <c:pt idx="1377">
                  <c:v>0.95624999999999682</c:v>
                </c:pt>
                <c:pt idx="1378">
                  <c:v>0.95694444444444127</c:v>
                </c:pt>
                <c:pt idx="1379">
                  <c:v>0.95763888888888571</c:v>
                </c:pt>
                <c:pt idx="1380">
                  <c:v>0.95833333333333015</c:v>
                </c:pt>
                <c:pt idx="1381">
                  <c:v>0.95902777777777459</c:v>
                </c:pt>
                <c:pt idx="1382">
                  <c:v>0.95972222222221903</c:v>
                </c:pt>
                <c:pt idx="1383">
                  <c:v>0.96041666666666348</c:v>
                </c:pt>
                <c:pt idx="1384">
                  <c:v>0.96111111111110792</c:v>
                </c:pt>
                <c:pt idx="1385">
                  <c:v>0.96180555555555236</c:v>
                </c:pt>
                <c:pt idx="1386">
                  <c:v>0.9624999999999968</c:v>
                </c:pt>
                <c:pt idx="1387">
                  <c:v>0.96319444444444124</c:v>
                </c:pt>
                <c:pt idx="1388">
                  <c:v>0.96388888888888569</c:v>
                </c:pt>
                <c:pt idx="1389">
                  <c:v>0.96458333333333013</c:v>
                </c:pt>
                <c:pt idx="1390">
                  <c:v>0.96527777777777457</c:v>
                </c:pt>
                <c:pt idx="1391">
                  <c:v>0.96597222222221901</c:v>
                </c:pt>
                <c:pt idx="1392">
                  <c:v>0.96666666666666345</c:v>
                </c:pt>
                <c:pt idx="1393">
                  <c:v>0.9673611111111079</c:v>
                </c:pt>
                <c:pt idx="1394">
                  <c:v>0.96805555555555234</c:v>
                </c:pt>
                <c:pt idx="1395">
                  <c:v>0.96874999999999678</c:v>
                </c:pt>
                <c:pt idx="1396">
                  <c:v>0.96944444444444122</c:v>
                </c:pt>
                <c:pt idx="1397">
                  <c:v>0.97013888888888566</c:v>
                </c:pt>
                <c:pt idx="1398">
                  <c:v>0.97083333333333011</c:v>
                </c:pt>
                <c:pt idx="1399">
                  <c:v>0.97152777777777455</c:v>
                </c:pt>
                <c:pt idx="1400">
                  <c:v>0.97222222222221899</c:v>
                </c:pt>
                <c:pt idx="1401">
                  <c:v>0.97291666666666343</c:v>
                </c:pt>
                <c:pt idx="1402">
                  <c:v>0.97361111111110787</c:v>
                </c:pt>
                <c:pt idx="1403">
                  <c:v>0.97430555555555232</c:v>
                </c:pt>
                <c:pt idx="1404">
                  <c:v>0.97499999999999676</c:v>
                </c:pt>
                <c:pt idx="1405">
                  <c:v>0.9756944444444412</c:v>
                </c:pt>
                <c:pt idx="1406">
                  <c:v>0.97638888888888564</c:v>
                </c:pt>
                <c:pt idx="1407">
                  <c:v>0.97708333333333008</c:v>
                </c:pt>
                <c:pt idx="1408">
                  <c:v>0.97777777777777453</c:v>
                </c:pt>
                <c:pt idx="1409">
                  <c:v>0.97847222222221897</c:v>
                </c:pt>
                <c:pt idx="1410">
                  <c:v>0.97916666666666341</c:v>
                </c:pt>
                <c:pt idx="1411">
                  <c:v>0.97986111111110785</c:v>
                </c:pt>
                <c:pt idx="1412">
                  <c:v>0.98055555555555229</c:v>
                </c:pt>
                <c:pt idx="1413">
                  <c:v>0.98124999999999674</c:v>
                </c:pt>
                <c:pt idx="1414">
                  <c:v>0.98194444444444118</c:v>
                </c:pt>
                <c:pt idx="1415">
                  <c:v>0.98263888888888562</c:v>
                </c:pt>
                <c:pt idx="1416">
                  <c:v>0.98333333333333006</c:v>
                </c:pt>
                <c:pt idx="1417">
                  <c:v>0.9840277777777745</c:v>
                </c:pt>
                <c:pt idx="1418">
                  <c:v>0.98472222222221895</c:v>
                </c:pt>
                <c:pt idx="1419">
                  <c:v>0.98541666666666339</c:v>
                </c:pt>
                <c:pt idx="1420">
                  <c:v>0.98611111111110783</c:v>
                </c:pt>
                <c:pt idx="1421">
                  <c:v>0.98680555555555227</c:v>
                </c:pt>
                <c:pt idx="1422">
                  <c:v>0.98749999999999671</c:v>
                </c:pt>
                <c:pt idx="1423">
                  <c:v>0.98819444444444116</c:v>
                </c:pt>
                <c:pt idx="1424">
                  <c:v>0.9888888888888856</c:v>
                </c:pt>
                <c:pt idx="1425">
                  <c:v>0.98958333333333004</c:v>
                </c:pt>
                <c:pt idx="1426">
                  <c:v>0.99027777777777448</c:v>
                </c:pt>
                <c:pt idx="1427">
                  <c:v>0.99097222222221892</c:v>
                </c:pt>
                <c:pt idx="1428">
                  <c:v>0.99166666666666337</c:v>
                </c:pt>
                <c:pt idx="1429">
                  <c:v>0.99236111111110781</c:v>
                </c:pt>
                <c:pt idx="1430">
                  <c:v>0.99305555555555225</c:v>
                </c:pt>
                <c:pt idx="1431">
                  <c:v>0.99374999999999669</c:v>
                </c:pt>
                <c:pt idx="1432">
                  <c:v>0.99444444444444113</c:v>
                </c:pt>
                <c:pt idx="1433">
                  <c:v>0.99513888888888558</c:v>
                </c:pt>
                <c:pt idx="1434">
                  <c:v>0.99583333333333002</c:v>
                </c:pt>
                <c:pt idx="1435">
                  <c:v>0.99652777777777446</c:v>
                </c:pt>
                <c:pt idx="1436">
                  <c:v>0.9972222222222189</c:v>
                </c:pt>
                <c:pt idx="1437">
                  <c:v>0.99791666666666334</c:v>
                </c:pt>
                <c:pt idx="1438">
                  <c:v>0.99861111111110779</c:v>
                </c:pt>
                <c:pt idx="1439">
                  <c:v>0.99930555555555223</c:v>
                </c:pt>
              </c:numCache>
            </c:numRef>
          </c:xVal>
          <c:yVal>
            <c:numRef>
              <c:f>'Light &amp; Temp Charts'!$K$14:$K$24</c:f>
              <c:numCache>
                <c:formatCode>General</c:formatCode>
                <c:ptCount val="11"/>
                <c:pt idx="0">
                  <c:v>23</c:v>
                </c:pt>
                <c:pt idx="1">
                  <c:v>23</c:v>
                </c:pt>
                <c:pt idx="2">
                  <c:v>23</c:v>
                </c:pt>
                <c:pt idx="3">
                  <c:v>23</c:v>
                </c:pt>
                <c:pt idx="4">
                  <c:v>23</c:v>
                </c:pt>
                <c:pt idx="5">
                  <c:v>23</c:v>
                </c:pt>
                <c:pt idx="6">
                  <c:v>23</c:v>
                </c:pt>
                <c:pt idx="7">
                  <c:v>23</c:v>
                </c:pt>
                <c:pt idx="8">
                  <c:v>56</c:v>
                </c:pt>
                <c:pt idx="9">
                  <c:v>56</c:v>
                </c:pt>
                <c:pt idx="10">
                  <c:v>56</c:v>
                </c:pt>
              </c:numCache>
            </c:numRef>
          </c:yVal>
          <c:smooth val="1"/>
          <c:extLst>
            <c:ext xmlns:c16="http://schemas.microsoft.com/office/drawing/2014/chart" uri="{C3380CC4-5D6E-409C-BE32-E72D297353CC}">
              <c16:uniqueId val="{00000001-0220-4DBC-BA2B-9C1CA8C0E428}"/>
            </c:ext>
          </c:extLst>
        </c:ser>
        <c:ser>
          <c:idx val="1"/>
          <c:order val="2"/>
          <c:tx>
            <c:v>s3</c:v>
          </c:tx>
          <c:spPr>
            <a:ln w="12700" cap="flat" cmpd="sng" algn="ctr">
              <a:solidFill>
                <a:srgbClr val="00B050"/>
              </a:solidFill>
              <a:round/>
            </a:ln>
            <a:effectLst/>
          </c:spPr>
          <c:marker>
            <c:symbol val="none"/>
          </c:marker>
          <c:xVal>
            <c:numRef>
              <c:f>'Full Data Array'!$BE$4:$BE$1443</c:f>
              <c:numCache>
                <c:formatCode>h:mm</c:formatCode>
                <c:ptCount val="1440"/>
                <c:pt idx="0">
                  <c:v>0</c:v>
                </c:pt>
                <c:pt idx="1">
                  <c:v>6.9444444444444447E-4</c:v>
                </c:pt>
                <c:pt idx="2">
                  <c:v>1.3888888888888889E-3</c:v>
                </c:pt>
                <c:pt idx="3">
                  <c:v>2.0833333333333333E-3</c:v>
                </c:pt>
                <c:pt idx="4">
                  <c:v>2.7777777777777779E-3</c:v>
                </c:pt>
                <c:pt idx="5">
                  <c:v>3.4722222222222225E-3</c:v>
                </c:pt>
                <c:pt idx="6">
                  <c:v>4.1666666666666666E-3</c:v>
                </c:pt>
                <c:pt idx="7">
                  <c:v>4.8611111111111112E-3</c:v>
                </c:pt>
                <c:pt idx="8">
                  <c:v>5.5555555555555558E-3</c:v>
                </c:pt>
                <c:pt idx="9">
                  <c:v>6.2500000000000003E-3</c:v>
                </c:pt>
                <c:pt idx="10">
                  <c:v>6.9444444444444449E-3</c:v>
                </c:pt>
                <c:pt idx="11">
                  <c:v>7.6388888888888895E-3</c:v>
                </c:pt>
                <c:pt idx="12">
                  <c:v>8.3333333333333332E-3</c:v>
                </c:pt>
                <c:pt idx="13">
                  <c:v>9.0277777777777769E-3</c:v>
                </c:pt>
                <c:pt idx="14">
                  <c:v>9.7222222222222206E-3</c:v>
                </c:pt>
                <c:pt idx="15">
                  <c:v>1.0416666666666664E-2</c:v>
                </c:pt>
                <c:pt idx="16">
                  <c:v>1.1111111111111108E-2</c:v>
                </c:pt>
                <c:pt idx="17">
                  <c:v>1.1805555555555552E-2</c:v>
                </c:pt>
                <c:pt idx="18">
                  <c:v>1.2499999999999995E-2</c:v>
                </c:pt>
                <c:pt idx="19">
                  <c:v>1.3194444444444439E-2</c:v>
                </c:pt>
                <c:pt idx="20">
                  <c:v>1.3888888888888883E-2</c:v>
                </c:pt>
                <c:pt idx="21">
                  <c:v>1.4583333333333327E-2</c:v>
                </c:pt>
                <c:pt idx="22">
                  <c:v>1.527777777777777E-2</c:v>
                </c:pt>
                <c:pt idx="23">
                  <c:v>1.5972222222222214E-2</c:v>
                </c:pt>
                <c:pt idx="24">
                  <c:v>1.6666666666666659E-2</c:v>
                </c:pt>
                <c:pt idx="25">
                  <c:v>1.7361111111111105E-2</c:v>
                </c:pt>
                <c:pt idx="26">
                  <c:v>1.805555555555555E-2</c:v>
                </c:pt>
                <c:pt idx="27">
                  <c:v>1.8749999999999996E-2</c:v>
                </c:pt>
                <c:pt idx="28">
                  <c:v>1.9444444444444441E-2</c:v>
                </c:pt>
                <c:pt idx="29">
                  <c:v>2.0138888888888887E-2</c:v>
                </c:pt>
                <c:pt idx="30">
                  <c:v>2.0833333333333332E-2</c:v>
                </c:pt>
                <c:pt idx="31">
                  <c:v>2.1527777777777778E-2</c:v>
                </c:pt>
                <c:pt idx="32">
                  <c:v>2.2222222222222223E-2</c:v>
                </c:pt>
                <c:pt idx="33">
                  <c:v>2.2916666666666669E-2</c:v>
                </c:pt>
                <c:pt idx="34">
                  <c:v>2.3611111111111114E-2</c:v>
                </c:pt>
                <c:pt idx="35">
                  <c:v>2.4305555555555559E-2</c:v>
                </c:pt>
                <c:pt idx="36">
                  <c:v>2.5000000000000005E-2</c:v>
                </c:pt>
                <c:pt idx="37">
                  <c:v>2.569444444444445E-2</c:v>
                </c:pt>
                <c:pt idx="38">
                  <c:v>2.6388888888888896E-2</c:v>
                </c:pt>
                <c:pt idx="39">
                  <c:v>2.7083333333333341E-2</c:v>
                </c:pt>
                <c:pt idx="40">
                  <c:v>2.7777777777777787E-2</c:v>
                </c:pt>
                <c:pt idx="41">
                  <c:v>2.8472222222222232E-2</c:v>
                </c:pt>
                <c:pt idx="42">
                  <c:v>2.9166666666666678E-2</c:v>
                </c:pt>
                <c:pt idx="43">
                  <c:v>2.9861111111111123E-2</c:v>
                </c:pt>
                <c:pt idx="44">
                  <c:v>3.0555555555555568E-2</c:v>
                </c:pt>
                <c:pt idx="45">
                  <c:v>3.1250000000000014E-2</c:v>
                </c:pt>
                <c:pt idx="46">
                  <c:v>3.1944444444444456E-2</c:v>
                </c:pt>
                <c:pt idx="47">
                  <c:v>3.2638888888888898E-2</c:v>
                </c:pt>
                <c:pt idx="48">
                  <c:v>3.333333333333334E-2</c:v>
                </c:pt>
                <c:pt idx="49">
                  <c:v>3.4027777777777782E-2</c:v>
                </c:pt>
                <c:pt idx="50">
                  <c:v>3.4722222222222224E-2</c:v>
                </c:pt>
                <c:pt idx="51">
                  <c:v>3.5416666666666666E-2</c:v>
                </c:pt>
                <c:pt idx="52">
                  <c:v>3.6111111111111108E-2</c:v>
                </c:pt>
                <c:pt idx="53">
                  <c:v>3.680555555555555E-2</c:v>
                </c:pt>
                <c:pt idx="54">
                  <c:v>3.7499999999999992E-2</c:v>
                </c:pt>
                <c:pt idx="55">
                  <c:v>3.8194444444444434E-2</c:v>
                </c:pt>
                <c:pt idx="56">
                  <c:v>3.8888888888888876E-2</c:v>
                </c:pt>
                <c:pt idx="57">
                  <c:v>3.9583333333333318E-2</c:v>
                </c:pt>
                <c:pt idx="58">
                  <c:v>4.027777777777776E-2</c:v>
                </c:pt>
                <c:pt idx="59">
                  <c:v>4.0972222222222202E-2</c:v>
                </c:pt>
                <c:pt idx="60">
                  <c:v>4.1666666666666644E-2</c:v>
                </c:pt>
                <c:pt idx="61">
                  <c:v>4.2361111111111086E-2</c:v>
                </c:pt>
                <c:pt idx="62">
                  <c:v>4.3055555555555527E-2</c:v>
                </c:pt>
                <c:pt idx="63">
                  <c:v>4.3749999999999969E-2</c:v>
                </c:pt>
                <c:pt idx="64">
                  <c:v>4.4444444444444411E-2</c:v>
                </c:pt>
                <c:pt idx="65">
                  <c:v>4.5138888888888853E-2</c:v>
                </c:pt>
                <c:pt idx="66">
                  <c:v>4.5833333333333295E-2</c:v>
                </c:pt>
                <c:pt idx="67">
                  <c:v>4.6527777777777737E-2</c:v>
                </c:pt>
                <c:pt idx="68">
                  <c:v>4.7222222222222179E-2</c:v>
                </c:pt>
                <c:pt idx="69">
                  <c:v>4.7916666666666621E-2</c:v>
                </c:pt>
                <c:pt idx="70">
                  <c:v>4.8611111111111063E-2</c:v>
                </c:pt>
                <c:pt idx="71">
                  <c:v>4.9305555555555505E-2</c:v>
                </c:pt>
                <c:pt idx="72">
                  <c:v>4.9999999999999947E-2</c:v>
                </c:pt>
                <c:pt idx="73">
                  <c:v>5.0694444444444389E-2</c:v>
                </c:pt>
                <c:pt idx="74">
                  <c:v>5.1388888888888831E-2</c:v>
                </c:pt>
                <c:pt idx="75">
                  <c:v>5.2083333333333273E-2</c:v>
                </c:pt>
                <c:pt idx="76">
                  <c:v>5.2777777777777715E-2</c:v>
                </c:pt>
                <c:pt idx="77">
                  <c:v>5.3472222222222157E-2</c:v>
                </c:pt>
                <c:pt idx="78">
                  <c:v>5.4166666666666599E-2</c:v>
                </c:pt>
                <c:pt idx="79">
                  <c:v>5.4861111111111041E-2</c:v>
                </c:pt>
                <c:pt idx="80">
                  <c:v>5.5555555555555483E-2</c:v>
                </c:pt>
                <c:pt idx="81">
                  <c:v>5.6249999999999925E-2</c:v>
                </c:pt>
                <c:pt idx="82">
                  <c:v>5.6944444444444367E-2</c:v>
                </c:pt>
                <c:pt idx="83">
                  <c:v>5.7638888888888809E-2</c:v>
                </c:pt>
                <c:pt idx="84">
                  <c:v>5.8333333333333251E-2</c:v>
                </c:pt>
                <c:pt idx="85">
                  <c:v>5.9027777777777693E-2</c:v>
                </c:pt>
                <c:pt idx="86">
                  <c:v>5.9722222222222135E-2</c:v>
                </c:pt>
                <c:pt idx="87">
                  <c:v>6.0416666666666577E-2</c:v>
                </c:pt>
                <c:pt idx="88">
                  <c:v>6.1111111111111019E-2</c:v>
                </c:pt>
                <c:pt idx="89">
                  <c:v>6.1805555555555461E-2</c:v>
                </c:pt>
                <c:pt idx="90">
                  <c:v>6.2499999999999903E-2</c:v>
                </c:pt>
                <c:pt idx="91">
                  <c:v>6.3194444444444345E-2</c:v>
                </c:pt>
                <c:pt idx="92">
                  <c:v>6.3888888888888787E-2</c:v>
                </c:pt>
                <c:pt idx="93">
                  <c:v>6.4583333333333229E-2</c:v>
                </c:pt>
                <c:pt idx="94">
                  <c:v>6.5277777777777671E-2</c:v>
                </c:pt>
                <c:pt idx="95">
                  <c:v>6.5972222222222113E-2</c:v>
                </c:pt>
                <c:pt idx="96">
                  <c:v>6.6666666666666555E-2</c:v>
                </c:pt>
                <c:pt idx="97">
                  <c:v>6.7361111111110997E-2</c:v>
                </c:pt>
                <c:pt idx="98">
                  <c:v>6.8055555555555439E-2</c:v>
                </c:pt>
                <c:pt idx="99">
                  <c:v>6.8749999999999881E-2</c:v>
                </c:pt>
                <c:pt idx="100">
                  <c:v>6.9444444444444323E-2</c:v>
                </c:pt>
                <c:pt idx="101">
                  <c:v>7.0138888888888765E-2</c:v>
                </c:pt>
                <c:pt idx="102">
                  <c:v>7.0833333333333207E-2</c:v>
                </c:pt>
                <c:pt idx="103">
                  <c:v>7.1527777777777649E-2</c:v>
                </c:pt>
                <c:pt idx="104">
                  <c:v>7.2222222222222091E-2</c:v>
                </c:pt>
                <c:pt idx="105">
                  <c:v>7.2916666666666533E-2</c:v>
                </c:pt>
                <c:pt idx="106">
                  <c:v>7.3611111111110974E-2</c:v>
                </c:pt>
                <c:pt idx="107">
                  <c:v>7.4305555555555416E-2</c:v>
                </c:pt>
                <c:pt idx="108">
                  <c:v>7.4999999999999858E-2</c:v>
                </c:pt>
                <c:pt idx="109">
                  <c:v>7.56944444444443E-2</c:v>
                </c:pt>
                <c:pt idx="110">
                  <c:v>7.6388888888888742E-2</c:v>
                </c:pt>
                <c:pt idx="111">
                  <c:v>7.7083333333333184E-2</c:v>
                </c:pt>
                <c:pt idx="112">
                  <c:v>7.7777777777777626E-2</c:v>
                </c:pt>
                <c:pt idx="113">
                  <c:v>7.8472222222222068E-2</c:v>
                </c:pt>
                <c:pt idx="114">
                  <c:v>7.916666666666651E-2</c:v>
                </c:pt>
                <c:pt idx="115">
                  <c:v>7.9861111111110952E-2</c:v>
                </c:pt>
                <c:pt idx="116">
                  <c:v>8.0555555555555394E-2</c:v>
                </c:pt>
                <c:pt idx="117">
                  <c:v>8.1249999999999836E-2</c:v>
                </c:pt>
                <c:pt idx="118">
                  <c:v>8.1944444444444278E-2</c:v>
                </c:pt>
                <c:pt idx="119">
                  <c:v>8.263888888888872E-2</c:v>
                </c:pt>
                <c:pt idx="120">
                  <c:v>8.3333333333333162E-2</c:v>
                </c:pt>
                <c:pt idx="121">
                  <c:v>8.4027777777777604E-2</c:v>
                </c:pt>
                <c:pt idx="122">
                  <c:v>8.4722222222222046E-2</c:v>
                </c:pt>
                <c:pt idx="123">
                  <c:v>8.5416666666666488E-2</c:v>
                </c:pt>
                <c:pt idx="124">
                  <c:v>8.611111111111093E-2</c:v>
                </c:pt>
                <c:pt idx="125">
                  <c:v>8.6805555555555372E-2</c:v>
                </c:pt>
                <c:pt idx="126">
                  <c:v>8.7499999999999814E-2</c:v>
                </c:pt>
                <c:pt idx="127">
                  <c:v>8.8194444444444256E-2</c:v>
                </c:pt>
                <c:pt idx="128">
                  <c:v>8.8888888888888698E-2</c:v>
                </c:pt>
                <c:pt idx="129">
                  <c:v>8.958333333333314E-2</c:v>
                </c:pt>
                <c:pt idx="130">
                  <c:v>9.0277777777777582E-2</c:v>
                </c:pt>
                <c:pt idx="131">
                  <c:v>9.0972222222222024E-2</c:v>
                </c:pt>
                <c:pt idx="132">
                  <c:v>9.1666666666666466E-2</c:v>
                </c:pt>
                <c:pt idx="133">
                  <c:v>9.2361111111110908E-2</c:v>
                </c:pt>
                <c:pt idx="134">
                  <c:v>9.305555555555535E-2</c:v>
                </c:pt>
                <c:pt idx="135">
                  <c:v>9.3749999999999792E-2</c:v>
                </c:pt>
                <c:pt idx="136">
                  <c:v>9.4444444444444234E-2</c:v>
                </c:pt>
                <c:pt idx="137">
                  <c:v>9.5138888888888676E-2</c:v>
                </c:pt>
                <c:pt idx="138">
                  <c:v>9.5833333333333118E-2</c:v>
                </c:pt>
                <c:pt idx="139">
                  <c:v>9.652777777777756E-2</c:v>
                </c:pt>
                <c:pt idx="140">
                  <c:v>9.7222222222222002E-2</c:v>
                </c:pt>
                <c:pt idx="141">
                  <c:v>9.7916666666666444E-2</c:v>
                </c:pt>
                <c:pt idx="142">
                  <c:v>9.8611111111110886E-2</c:v>
                </c:pt>
                <c:pt idx="143">
                  <c:v>9.9305555555555328E-2</c:v>
                </c:pt>
                <c:pt idx="144">
                  <c:v>9.999999999999977E-2</c:v>
                </c:pt>
                <c:pt idx="145">
                  <c:v>0.10069444444444421</c:v>
                </c:pt>
                <c:pt idx="146">
                  <c:v>0.10138888888888865</c:v>
                </c:pt>
                <c:pt idx="147">
                  <c:v>0.1020833333333331</c:v>
                </c:pt>
                <c:pt idx="148">
                  <c:v>0.10277777777777754</c:v>
                </c:pt>
                <c:pt idx="149">
                  <c:v>0.10347222222222198</c:v>
                </c:pt>
                <c:pt idx="150">
                  <c:v>0.10416666666666642</c:v>
                </c:pt>
                <c:pt idx="151">
                  <c:v>0.10486111111111086</c:v>
                </c:pt>
                <c:pt idx="152">
                  <c:v>0.10555555555555531</c:v>
                </c:pt>
                <c:pt idx="153">
                  <c:v>0.10624999999999975</c:v>
                </c:pt>
                <c:pt idx="154">
                  <c:v>0.10694444444444419</c:v>
                </c:pt>
                <c:pt idx="155">
                  <c:v>0.10763888888888863</c:v>
                </c:pt>
                <c:pt idx="156">
                  <c:v>0.10833333333333307</c:v>
                </c:pt>
                <c:pt idx="157">
                  <c:v>0.10902777777777752</c:v>
                </c:pt>
                <c:pt idx="158">
                  <c:v>0.10972222222222196</c:v>
                </c:pt>
                <c:pt idx="159">
                  <c:v>0.1104166666666664</c:v>
                </c:pt>
                <c:pt idx="160">
                  <c:v>0.11111111111111084</c:v>
                </c:pt>
                <c:pt idx="161">
                  <c:v>0.11180555555555528</c:v>
                </c:pt>
                <c:pt idx="162">
                  <c:v>0.11249999999999973</c:v>
                </c:pt>
                <c:pt idx="163">
                  <c:v>0.11319444444444417</c:v>
                </c:pt>
                <c:pt idx="164">
                  <c:v>0.11388888888888861</c:v>
                </c:pt>
                <c:pt idx="165">
                  <c:v>0.11458333333333305</c:v>
                </c:pt>
                <c:pt idx="166">
                  <c:v>0.11527777777777749</c:v>
                </c:pt>
                <c:pt idx="167">
                  <c:v>0.11597222222222194</c:v>
                </c:pt>
                <c:pt idx="168">
                  <c:v>0.11666666666666638</c:v>
                </c:pt>
                <c:pt idx="169">
                  <c:v>0.11736111111111082</c:v>
                </c:pt>
                <c:pt idx="170">
                  <c:v>0.11805555555555526</c:v>
                </c:pt>
                <c:pt idx="171">
                  <c:v>0.1187499999999997</c:v>
                </c:pt>
                <c:pt idx="172">
                  <c:v>0.11944444444444414</c:v>
                </c:pt>
                <c:pt idx="173">
                  <c:v>0.12013888888888859</c:v>
                </c:pt>
                <c:pt idx="174">
                  <c:v>0.12083333333333303</c:v>
                </c:pt>
                <c:pt idx="175">
                  <c:v>0.12152777777777747</c:v>
                </c:pt>
                <c:pt idx="176">
                  <c:v>0.12222222222222191</c:v>
                </c:pt>
                <c:pt idx="177">
                  <c:v>0.12291666666666635</c:v>
                </c:pt>
                <c:pt idx="178">
                  <c:v>0.1236111111111108</c:v>
                </c:pt>
                <c:pt idx="179">
                  <c:v>0.12430555555555524</c:v>
                </c:pt>
                <c:pt idx="180">
                  <c:v>0.12499999999999968</c:v>
                </c:pt>
                <c:pt idx="181">
                  <c:v>0.12569444444444414</c:v>
                </c:pt>
                <c:pt idx="182">
                  <c:v>0.12638888888888858</c:v>
                </c:pt>
                <c:pt idx="183">
                  <c:v>0.12708333333333302</c:v>
                </c:pt>
                <c:pt idx="184">
                  <c:v>0.12777777777777746</c:v>
                </c:pt>
                <c:pt idx="185">
                  <c:v>0.1284722222222219</c:v>
                </c:pt>
                <c:pt idx="186">
                  <c:v>0.12916666666666635</c:v>
                </c:pt>
                <c:pt idx="187">
                  <c:v>0.12986111111111079</c:v>
                </c:pt>
                <c:pt idx="188">
                  <c:v>0.13055555555555523</c:v>
                </c:pt>
                <c:pt idx="189">
                  <c:v>0.13124999999999967</c:v>
                </c:pt>
                <c:pt idx="190">
                  <c:v>0.13194444444444411</c:v>
                </c:pt>
                <c:pt idx="191">
                  <c:v>0.13263888888888856</c:v>
                </c:pt>
                <c:pt idx="192">
                  <c:v>0.133333333333333</c:v>
                </c:pt>
                <c:pt idx="193">
                  <c:v>0.13402777777777744</c:v>
                </c:pt>
                <c:pt idx="194">
                  <c:v>0.13472222222222188</c:v>
                </c:pt>
                <c:pt idx="195">
                  <c:v>0.13541666666666632</c:v>
                </c:pt>
                <c:pt idx="196">
                  <c:v>0.13611111111111077</c:v>
                </c:pt>
                <c:pt idx="197">
                  <c:v>0.13680555555555521</c:v>
                </c:pt>
                <c:pt idx="198">
                  <c:v>0.13749999999999965</c:v>
                </c:pt>
                <c:pt idx="199">
                  <c:v>0.13819444444444409</c:v>
                </c:pt>
                <c:pt idx="200">
                  <c:v>0.13888888888888853</c:v>
                </c:pt>
                <c:pt idx="201">
                  <c:v>0.13958333333333298</c:v>
                </c:pt>
                <c:pt idx="202">
                  <c:v>0.14027777777777742</c:v>
                </c:pt>
                <c:pt idx="203">
                  <c:v>0.14097222222222186</c:v>
                </c:pt>
                <c:pt idx="204">
                  <c:v>0.1416666666666663</c:v>
                </c:pt>
                <c:pt idx="205">
                  <c:v>0.14236111111111074</c:v>
                </c:pt>
                <c:pt idx="206">
                  <c:v>0.14305555555555519</c:v>
                </c:pt>
                <c:pt idx="207">
                  <c:v>0.14374999999999963</c:v>
                </c:pt>
                <c:pt idx="208">
                  <c:v>0.14444444444444407</c:v>
                </c:pt>
                <c:pt idx="209">
                  <c:v>0.14513888888888851</c:v>
                </c:pt>
                <c:pt idx="210">
                  <c:v>0.14583333333333295</c:v>
                </c:pt>
                <c:pt idx="211">
                  <c:v>0.1465277777777774</c:v>
                </c:pt>
                <c:pt idx="212">
                  <c:v>0.14722222222222184</c:v>
                </c:pt>
                <c:pt idx="213">
                  <c:v>0.14791666666666628</c:v>
                </c:pt>
                <c:pt idx="214">
                  <c:v>0.14861111111111072</c:v>
                </c:pt>
                <c:pt idx="215">
                  <c:v>0.14930555555555516</c:v>
                </c:pt>
                <c:pt idx="216">
                  <c:v>0.14999999999999961</c:v>
                </c:pt>
                <c:pt idx="217">
                  <c:v>0.15069444444444405</c:v>
                </c:pt>
                <c:pt idx="218">
                  <c:v>0.15138888888888849</c:v>
                </c:pt>
                <c:pt idx="219">
                  <c:v>0.15208333333333293</c:v>
                </c:pt>
                <c:pt idx="220">
                  <c:v>0.15277777777777737</c:v>
                </c:pt>
                <c:pt idx="221">
                  <c:v>0.15347222222222182</c:v>
                </c:pt>
                <c:pt idx="222">
                  <c:v>0.15416666666666626</c:v>
                </c:pt>
                <c:pt idx="223">
                  <c:v>0.1548611111111107</c:v>
                </c:pt>
                <c:pt idx="224">
                  <c:v>0.15555555555555514</c:v>
                </c:pt>
                <c:pt idx="225">
                  <c:v>0.15624999999999958</c:v>
                </c:pt>
                <c:pt idx="226">
                  <c:v>0.15694444444444403</c:v>
                </c:pt>
                <c:pt idx="227">
                  <c:v>0.15763888888888847</c:v>
                </c:pt>
                <c:pt idx="228">
                  <c:v>0.15833333333333291</c:v>
                </c:pt>
                <c:pt idx="229">
                  <c:v>0.15902777777777735</c:v>
                </c:pt>
                <c:pt idx="230">
                  <c:v>0.15972222222222179</c:v>
                </c:pt>
                <c:pt idx="231">
                  <c:v>0.16041666666666624</c:v>
                </c:pt>
                <c:pt idx="232">
                  <c:v>0.16111111111111068</c:v>
                </c:pt>
                <c:pt idx="233">
                  <c:v>0.16180555555555512</c:v>
                </c:pt>
                <c:pt idx="234">
                  <c:v>0.16249999999999956</c:v>
                </c:pt>
                <c:pt idx="235">
                  <c:v>0.163194444444444</c:v>
                </c:pt>
                <c:pt idx="236">
                  <c:v>0.16388888888888845</c:v>
                </c:pt>
                <c:pt idx="237">
                  <c:v>0.16458333333333289</c:v>
                </c:pt>
                <c:pt idx="238">
                  <c:v>0.16527777777777733</c:v>
                </c:pt>
                <c:pt idx="239">
                  <c:v>0.16597222222222177</c:v>
                </c:pt>
                <c:pt idx="240">
                  <c:v>0.16666666666666621</c:v>
                </c:pt>
                <c:pt idx="241">
                  <c:v>0.16736111111111066</c:v>
                </c:pt>
                <c:pt idx="242">
                  <c:v>0.1680555555555551</c:v>
                </c:pt>
                <c:pt idx="243">
                  <c:v>0.16874999999999954</c:v>
                </c:pt>
                <c:pt idx="244">
                  <c:v>0.16944444444444398</c:v>
                </c:pt>
                <c:pt idx="245">
                  <c:v>0.17013888888888842</c:v>
                </c:pt>
                <c:pt idx="246">
                  <c:v>0.17083333333333287</c:v>
                </c:pt>
                <c:pt idx="247">
                  <c:v>0.17152777777777731</c:v>
                </c:pt>
                <c:pt idx="248">
                  <c:v>0.17222222222222175</c:v>
                </c:pt>
                <c:pt idx="249">
                  <c:v>0.17291666666666619</c:v>
                </c:pt>
                <c:pt idx="250">
                  <c:v>0.17361111111111063</c:v>
                </c:pt>
                <c:pt idx="251">
                  <c:v>0.17430555555555508</c:v>
                </c:pt>
                <c:pt idx="252">
                  <c:v>0.17499999999999952</c:v>
                </c:pt>
                <c:pt idx="253">
                  <c:v>0.17569444444444396</c:v>
                </c:pt>
                <c:pt idx="254">
                  <c:v>0.1763888888888884</c:v>
                </c:pt>
                <c:pt idx="255">
                  <c:v>0.17708333333333284</c:v>
                </c:pt>
                <c:pt idx="256">
                  <c:v>0.17777777777777728</c:v>
                </c:pt>
                <c:pt idx="257">
                  <c:v>0.17847222222222173</c:v>
                </c:pt>
                <c:pt idx="258">
                  <c:v>0.17916666666666617</c:v>
                </c:pt>
                <c:pt idx="259">
                  <c:v>0.17986111111111061</c:v>
                </c:pt>
                <c:pt idx="260">
                  <c:v>0.18055555555555505</c:v>
                </c:pt>
                <c:pt idx="261">
                  <c:v>0.18124999999999949</c:v>
                </c:pt>
                <c:pt idx="262">
                  <c:v>0.18194444444444394</c:v>
                </c:pt>
                <c:pt idx="263">
                  <c:v>0.18263888888888838</c:v>
                </c:pt>
                <c:pt idx="264">
                  <c:v>0.18333333333333282</c:v>
                </c:pt>
                <c:pt idx="265">
                  <c:v>0.18402777777777726</c:v>
                </c:pt>
                <c:pt idx="266">
                  <c:v>0.1847222222222217</c:v>
                </c:pt>
                <c:pt idx="267">
                  <c:v>0.18541666666666615</c:v>
                </c:pt>
                <c:pt idx="268">
                  <c:v>0.18611111111111059</c:v>
                </c:pt>
                <c:pt idx="269">
                  <c:v>0.18680555555555503</c:v>
                </c:pt>
                <c:pt idx="270">
                  <c:v>0.18749999999999947</c:v>
                </c:pt>
                <c:pt idx="271">
                  <c:v>0.18819444444444391</c:v>
                </c:pt>
                <c:pt idx="272">
                  <c:v>0.18888888888888836</c:v>
                </c:pt>
                <c:pt idx="273">
                  <c:v>0.1895833333333328</c:v>
                </c:pt>
                <c:pt idx="274">
                  <c:v>0.19027777777777724</c:v>
                </c:pt>
                <c:pt idx="275">
                  <c:v>0.19097222222222168</c:v>
                </c:pt>
                <c:pt idx="276">
                  <c:v>0.19166666666666612</c:v>
                </c:pt>
                <c:pt idx="277">
                  <c:v>0.19236111111111057</c:v>
                </c:pt>
                <c:pt idx="278">
                  <c:v>0.19305555555555501</c:v>
                </c:pt>
                <c:pt idx="279">
                  <c:v>0.19374999999999945</c:v>
                </c:pt>
                <c:pt idx="280">
                  <c:v>0.19444444444444389</c:v>
                </c:pt>
                <c:pt idx="281">
                  <c:v>0.19513888888888833</c:v>
                </c:pt>
                <c:pt idx="282">
                  <c:v>0.19583333333333278</c:v>
                </c:pt>
                <c:pt idx="283">
                  <c:v>0.19652777777777722</c:v>
                </c:pt>
                <c:pt idx="284">
                  <c:v>0.19722222222222166</c:v>
                </c:pt>
                <c:pt idx="285">
                  <c:v>0.1979166666666661</c:v>
                </c:pt>
                <c:pt idx="286">
                  <c:v>0.19861111111111054</c:v>
                </c:pt>
                <c:pt idx="287">
                  <c:v>0.19930555555555499</c:v>
                </c:pt>
                <c:pt idx="288">
                  <c:v>0.19999999999999943</c:v>
                </c:pt>
                <c:pt idx="289">
                  <c:v>0.20069444444444387</c:v>
                </c:pt>
                <c:pt idx="290">
                  <c:v>0.20138888888888831</c:v>
                </c:pt>
                <c:pt idx="291">
                  <c:v>0.20208333333333275</c:v>
                </c:pt>
                <c:pt idx="292">
                  <c:v>0.2027777777777772</c:v>
                </c:pt>
                <c:pt idx="293">
                  <c:v>0.20347222222222164</c:v>
                </c:pt>
                <c:pt idx="294">
                  <c:v>0.20416666666666608</c:v>
                </c:pt>
                <c:pt idx="295">
                  <c:v>0.20486111111111052</c:v>
                </c:pt>
                <c:pt idx="296">
                  <c:v>0.20555555555555496</c:v>
                </c:pt>
                <c:pt idx="297">
                  <c:v>0.20624999999999941</c:v>
                </c:pt>
                <c:pt idx="298">
                  <c:v>0.20694444444444385</c:v>
                </c:pt>
                <c:pt idx="299">
                  <c:v>0.20763888888888829</c:v>
                </c:pt>
                <c:pt idx="300">
                  <c:v>0.20833333333333273</c:v>
                </c:pt>
                <c:pt idx="301">
                  <c:v>0.20902777777777717</c:v>
                </c:pt>
                <c:pt idx="302">
                  <c:v>0.20972222222222162</c:v>
                </c:pt>
                <c:pt idx="303">
                  <c:v>0.21041666666666606</c:v>
                </c:pt>
                <c:pt idx="304">
                  <c:v>0.2111111111111105</c:v>
                </c:pt>
                <c:pt idx="305">
                  <c:v>0.21180555555555494</c:v>
                </c:pt>
                <c:pt idx="306">
                  <c:v>0.21249999999999938</c:v>
                </c:pt>
                <c:pt idx="307">
                  <c:v>0.21319444444444383</c:v>
                </c:pt>
                <c:pt idx="308">
                  <c:v>0.21388888888888827</c:v>
                </c:pt>
                <c:pt idx="309">
                  <c:v>0.21458333333333271</c:v>
                </c:pt>
                <c:pt idx="310">
                  <c:v>0.21527777777777715</c:v>
                </c:pt>
                <c:pt idx="311">
                  <c:v>0.21597222222222159</c:v>
                </c:pt>
                <c:pt idx="312">
                  <c:v>0.21666666666666604</c:v>
                </c:pt>
                <c:pt idx="313">
                  <c:v>0.21736111111111048</c:v>
                </c:pt>
                <c:pt idx="314">
                  <c:v>0.21805555555555492</c:v>
                </c:pt>
                <c:pt idx="315">
                  <c:v>0.21874999999999936</c:v>
                </c:pt>
                <c:pt idx="316">
                  <c:v>0.2194444444444438</c:v>
                </c:pt>
                <c:pt idx="317">
                  <c:v>0.22013888888888825</c:v>
                </c:pt>
                <c:pt idx="318">
                  <c:v>0.22083333333333269</c:v>
                </c:pt>
                <c:pt idx="319">
                  <c:v>0.22152777777777713</c:v>
                </c:pt>
                <c:pt idx="320">
                  <c:v>0.22222222222222157</c:v>
                </c:pt>
                <c:pt idx="321">
                  <c:v>0.22291666666666601</c:v>
                </c:pt>
                <c:pt idx="322">
                  <c:v>0.22361111111111046</c:v>
                </c:pt>
                <c:pt idx="323">
                  <c:v>0.2243055555555549</c:v>
                </c:pt>
                <c:pt idx="324">
                  <c:v>0.22499999999999934</c:v>
                </c:pt>
                <c:pt idx="325">
                  <c:v>0.22569444444444378</c:v>
                </c:pt>
                <c:pt idx="326">
                  <c:v>0.22638888888888822</c:v>
                </c:pt>
                <c:pt idx="327">
                  <c:v>0.22708333333333267</c:v>
                </c:pt>
                <c:pt idx="328">
                  <c:v>0.22777777777777711</c:v>
                </c:pt>
                <c:pt idx="329">
                  <c:v>0.22847222222222155</c:v>
                </c:pt>
                <c:pt idx="330">
                  <c:v>0.22916666666666599</c:v>
                </c:pt>
                <c:pt idx="331">
                  <c:v>0.22986111111111043</c:v>
                </c:pt>
                <c:pt idx="332">
                  <c:v>0.23055555555555488</c:v>
                </c:pt>
                <c:pt idx="333">
                  <c:v>0.23124999999999932</c:v>
                </c:pt>
                <c:pt idx="334">
                  <c:v>0.23194444444444376</c:v>
                </c:pt>
                <c:pt idx="335">
                  <c:v>0.2326388888888882</c:v>
                </c:pt>
                <c:pt idx="336">
                  <c:v>0.23333333333333264</c:v>
                </c:pt>
                <c:pt idx="337">
                  <c:v>0.23402777777777709</c:v>
                </c:pt>
                <c:pt idx="338">
                  <c:v>0.23472222222222153</c:v>
                </c:pt>
                <c:pt idx="339">
                  <c:v>0.23541666666666597</c:v>
                </c:pt>
                <c:pt idx="340">
                  <c:v>0.23611111111111041</c:v>
                </c:pt>
                <c:pt idx="341">
                  <c:v>0.23680555555555485</c:v>
                </c:pt>
                <c:pt idx="342">
                  <c:v>0.2374999999999993</c:v>
                </c:pt>
                <c:pt idx="343">
                  <c:v>0.23819444444444374</c:v>
                </c:pt>
                <c:pt idx="344">
                  <c:v>0.23888888888888818</c:v>
                </c:pt>
                <c:pt idx="345">
                  <c:v>0.23958333333333262</c:v>
                </c:pt>
                <c:pt idx="346">
                  <c:v>0.24027777777777706</c:v>
                </c:pt>
                <c:pt idx="347">
                  <c:v>0.2409722222222215</c:v>
                </c:pt>
                <c:pt idx="348">
                  <c:v>0.24166666666666595</c:v>
                </c:pt>
                <c:pt idx="349">
                  <c:v>0.24236111111111039</c:v>
                </c:pt>
                <c:pt idx="350">
                  <c:v>0.24305555555555483</c:v>
                </c:pt>
                <c:pt idx="351">
                  <c:v>0.24374999999999927</c:v>
                </c:pt>
                <c:pt idx="352">
                  <c:v>0.24444444444444371</c:v>
                </c:pt>
                <c:pt idx="353">
                  <c:v>0.24513888888888816</c:v>
                </c:pt>
                <c:pt idx="354">
                  <c:v>0.2458333333333326</c:v>
                </c:pt>
                <c:pt idx="355">
                  <c:v>0.24652777777777704</c:v>
                </c:pt>
                <c:pt idx="356">
                  <c:v>0.24722222222222148</c:v>
                </c:pt>
                <c:pt idx="357">
                  <c:v>0.24791666666666592</c:v>
                </c:pt>
                <c:pt idx="358">
                  <c:v>0.24861111111111037</c:v>
                </c:pt>
                <c:pt idx="359">
                  <c:v>0.24930555555555481</c:v>
                </c:pt>
                <c:pt idx="360">
                  <c:v>0.24999999999999925</c:v>
                </c:pt>
                <c:pt idx="361">
                  <c:v>0.25069444444444372</c:v>
                </c:pt>
                <c:pt idx="362">
                  <c:v>0.25138888888888816</c:v>
                </c:pt>
                <c:pt idx="363">
                  <c:v>0.2520833333333326</c:v>
                </c:pt>
                <c:pt idx="364">
                  <c:v>0.25277777777777705</c:v>
                </c:pt>
                <c:pt idx="365">
                  <c:v>0.25347222222222149</c:v>
                </c:pt>
                <c:pt idx="366">
                  <c:v>0.25416666666666593</c:v>
                </c:pt>
                <c:pt idx="367">
                  <c:v>0.25486111111111037</c:v>
                </c:pt>
                <c:pt idx="368">
                  <c:v>0.25555555555555481</c:v>
                </c:pt>
                <c:pt idx="369">
                  <c:v>0.25624999999999926</c:v>
                </c:pt>
                <c:pt idx="370">
                  <c:v>0.2569444444444437</c:v>
                </c:pt>
                <c:pt idx="371">
                  <c:v>0.25763888888888814</c:v>
                </c:pt>
                <c:pt idx="372">
                  <c:v>0.25833333333333258</c:v>
                </c:pt>
                <c:pt idx="373">
                  <c:v>0.25902777777777702</c:v>
                </c:pt>
                <c:pt idx="374">
                  <c:v>0.25972222222222147</c:v>
                </c:pt>
                <c:pt idx="375">
                  <c:v>0.26041666666666591</c:v>
                </c:pt>
                <c:pt idx="376">
                  <c:v>0.26111111111111035</c:v>
                </c:pt>
                <c:pt idx="377">
                  <c:v>0.26180555555555479</c:v>
                </c:pt>
                <c:pt idx="378">
                  <c:v>0.26249999999999923</c:v>
                </c:pt>
                <c:pt idx="379">
                  <c:v>0.26319444444444368</c:v>
                </c:pt>
                <c:pt idx="380">
                  <c:v>0.26388888888888812</c:v>
                </c:pt>
                <c:pt idx="381">
                  <c:v>0.26458333333333256</c:v>
                </c:pt>
                <c:pt idx="382">
                  <c:v>0.265277777777777</c:v>
                </c:pt>
                <c:pt idx="383">
                  <c:v>0.26597222222222144</c:v>
                </c:pt>
                <c:pt idx="384">
                  <c:v>0.26666666666666589</c:v>
                </c:pt>
                <c:pt idx="385">
                  <c:v>0.26736111111111033</c:v>
                </c:pt>
                <c:pt idx="386">
                  <c:v>0.26805555555555477</c:v>
                </c:pt>
                <c:pt idx="387">
                  <c:v>0.26874999999999921</c:v>
                </c:pt>
                <c:pt idx="388">
                  <c:v>0.26944444444444365</c:v>
                </c:pt>
                <c:pt idx="389">
                  <c:v>0.2701388888888881</c:v>
                </c:pt>
                <c:pt idx="390">
                  <c:v>0.27083333333333254</c:v>
                </c:pt>
                <c:pt idx="391">
                  <c:v>0.27152777777777698</c:v>
                </c:pt>
                <c:pt idx="392">
                  <c:v>0.27222222222222142</c:v>
                </c:pt>
                <c:pt idx="393">
                  <c:v>0.27291666666666586</c:v>
                </c:pt>
                <c:pt idx="394">
                  <c:v>0.27361111111111031</c:v>
                </c:pt>
                <c:pt idx="395">
                  <c:v>0.27430555555555475</c:v>
                </c:pt>
                <c:pt idx="396">
                  <c:v>0.27499999999999919</c:v>
                </c:pt>
                <c:pt idx="397">
                  <c:v>0.27569444444444363</c:v>
                </c:pt>
                <c:pt idx="398">
                  <c:v>0.27638888888888807</c:v>
                </c:pt>
                <c:pt idx="399">
                  <c:v>0.27708333333333252</c:v>
                </c:pt>
                <c:pt idx="400">
                  <c:v>0.27777777777777696</c:v>
                </c:pt>
                <c:pt idx="401">
                  <c:v>0.2784722222222214</c:v>
                </c:pt>
                <c:pt idx="402">
                  <c:v>0.27916666666666584</c:v>
                </c:pt>
                <c:pt idx="403">
                  <c:v>0.27986111111111028</c:v>
                </c:pt>
                <c:pt idx="404">
                  <c:v>0.28055555555555473</c:v>
                </c:pt>
                <c:pt idx="405">
                  <c:v>0.28124999999999917</c:v>
                </c:pt>
                <c:pt idx="406">
                  <c:v>0.28194444444444361</c:v>
                </c:pt>
                <c:pt idx="407">
                  <c:v>0.28263888888888805</c:v>
                </c:pt>
                <c:pt idx="408">
                  <c:v>0.28333333333333249</c:v>
                </c:pt>
                <c:pt idx="409">
                  <c:v>0.28402777777777694</c:v>
                </c:pt>
                <c:pt idx="410">
                  <c:v>0.28472222222222138</c:v>
                </c:pt>
                <c:pt idx="411">
                  <c:v>0.28541666666666582</c:v>
                </c:pt>
                <c:pt idx="412">
                  <c:v>0.28611111111111026</c:v>
                </c:pt>
                <c:pt idx="413">
                  <c:v>0.2868055555555547</c:v>
                </c:pt>
                <c:pt idx="414">
                  <c:v>0.28749999999999915</c:v>
                </c:pt>
                <c:pt idx="415">
                  <c:v>0.28819444444444359</c:v>
                </c:pt>
                <c:pt idx="416">
                  <c:v>0.28888888888888803</c:v>
                </c:pt>
                <c:pt idx="417">
                  <c:v>0.28958333333333247</c:v>
                </c:pt>
                <c:pt idx="418">
                  <c:v>0.29027777777777691</c:v>
                </c:pt>
                <c:pt idx="419">
                  <c:v>0.29097222222222136</c:v>
                </c:pt>
                <c:pt idx="420">
                  <c:v>0.2916666666666658</c:v>
                </c:pt>
                <c:pt idx="421">
                  <c:v>0.29236111111111024</c:v>
                </c:pt>
                <c:pt idx="422">
                  <c:v>0.29305555555555468</c:v>
                </c:pt>
                <c:pt idx="423">
                  <c:v>0.29374999999999912</c:v>
                </c:pt>
                <c:pt idx="424">
                  <c:v>0.29444444444444356</c:v>
                </c:pt>
                <c:pt idx="425">
                  <c:v>0.29513888888888801</c:v>
                </c:pt>
                <c:pt idx="426">
                  <c:v>0.29583333333333245</c:v>
                </c:pt>
                <c:pt idx="427">
                  <c:v>0.29652777777777689</c:v>
                </c:pt>
                <c:pt idx="428">
                  <c:v>0.29722222222222133</c:v>
                </c:pt>
                <c:pt idx="429">
                  <c:v>0.29791666666666577</c:v>
                </c:pt>
                <c:pt idx="430">
                  <c:v>0.29861111111111022</c:v>
                </c:pt>
                <c:pt idx="431">
                  <c:v>0.29930555555555466</c:v>
                </c:pt>
                <c:pt idx="432">
                  <c:v>0.2999999999999991</c:v>
                </c:pt>
                <c:pt idx="433">
                  <c:v>0.30069444444444354</c:v>
                </c:pt>
                <c:pt idx="434">
                  <c:v>0.30138888888888798</c:v>
                </c:pt>
                <c:pt idx="435">
                  <c:v>0.30208333333333243</c:v>
                </c:pt>
                <c:pt idx="436">
                  <c:v>0.30277777777777687</c:v>
                </c:pt>
                <c:pt idx="437">
                  <c:v>0.30347222222222131</c:v>
                </c:pt>
                <c:pt idx="438">
                  <c:v>0.30416666666666575</c:v>
                </c:pt>
                <c:pt idx="439">
                  <c:v>0.30486111111111019</c:v>
                </c:pt>
                <c:pt idx="440">
                  <c:v>0.30555555555555464</c:v>
                </c:pt>
                <c:pt idx="441">
                  <c:v>0.30624999999999908</c:v>
                </c:pt>
                <c:pt idx="442">
                  <c:v>0.30694444444444352</c:v>
                </c:pt>
                <c:pt idx="443">
                  <c:v>0.30763888888888796</c:v>
                </c:pt>
                <c:pt idx="444">
                  <c:v>0.3083333333333324</c:v>
                </c:pt>
                <c:pt idx="445">
                  <c:v>0.30902777777777685</c:v>
                </c:pt>
                <c:pt idx="446">
                  <c:v>0.30972222222222129</c:v>
                </c:pt>
                <c:pt idx="447">
                  <c:v>0.31041666666666573</c:v>
                </c:pt>
                <c:pt idx="448">
                  <c:v>0.31111111111111017</c:v>
                </c:pt>
                <c:pt idx="449">
                  <c:v>0.31180555555555461</c:v>
                </c:pt>
                <c:pt idx="450">
                  <c:v>0.31249999999999906</c:v>
                </c:pt>
                <c:pt idx="451">
                  <c:v>0.3131944444444435</c:v>
                </c:pt>
                <c:pt idx="452">
                  <c:v>0.31388888888888794</c:v>
                </c:pt>
                <c:pt idx="453">
                  <c:v>0.31458333333333238</c:v>
                </c:pt>
                <c:pt idx="454">
                  <c:v>0.31527777777777682</c:v>
                </c:pt>
                <c:pt idx="455">
                  <c:v>0.31597222222222127</c:v>
                </c:pt>
                <c:pt idx="456">
                  <c:v>0.31666666666666571</c:v>
                </c:pt>
                <c:pt idx="457">
                  <c:v>0.31736111111111015</c:v>
                </c:pt>
                <c:pt idx="458">
                  <c:v>0.31805555555555459</c:v>
                </c:pt>
                <c:pt idx="459">
                  <c:v>0.31874999999999903</c:v>
                </c:pt>
                <c:pt idx="460">
                  <c:v>0.31944444444444348</c:v>
                </c:pt>
                <c:pt idx="461">
                  <c:v>0.32013888888888792</c:v>
                </c:pt>
                <c:pt idx="462">
                  <c:v>0.32083333333333236</c:v>
                </c:pt>
                <c:pt idx="463">
                  <c:v>0.3215277777777768</c:v>
                </c:pt>
                <c:pt idx="464">
                  <c:v>0.32222222222222124</c:v>
                </c:pt>
                <c:pt idx="465">
                  <c:v>0.32291666666666569</c:v>
                </c:pt>
                <c:pt idx="466">
                  <c:v>0.32361111111111013</c:v>
                </c:pt>
                <c:pt idx="467">
                  <c:v>0.32430555555555457</c:v>
                </c:pt>
                <c:pt idx="468">
                  <c:v>0.32499999999999901</c:v>
                </c:pt>
                <c:pt idx="469">
                  <c:v>0.32569444444444345</c:v>
                </c:pt>
                <c:pt idx="470">
                  <c:v>0.3263888888888879</c:v>
                </c:pt>
                <c:pt idx="471">
                  <c:v>0.32708333333333234</c:v>
                </c:pt>
                <c:pt idx="472">
                  <c:v>0.32777777777777678</c:v>
                </c:pt>
                <c:pt idx="473">
                  <c:v>0.32847222222222122</c:v>
                </c:pt>
                <c:pt idx="474">
                  <c:v>0.32916666666666566</c:v>
                </c:pt>
                <c:pt idx="475">
                  <c:v>0.32986111111111011</c:v>
                </c:pt>
                <c:pt idx="476">
                  <c:v>0.33055555555555455</c:v>
                </c:pt>
                <c:pt idx="477">
                  <c:v>0.33124999999999899</c:v>
                </c:pt>
                <c:pt idx="478">
                  <c:v>0.33194444444444343</c:v>
                </c:pt>
                <c:pt idx="479">
                  <c:v>0.33263888888888787</c:v>
                </c:pt>
                <c:pt idx="480">
                  <c:v>0.33333333333333232</c:v>
                </c:pt>
                <c:pt idx="481">
                  <c:v>0.33402777777777676</c:v>
                </c:pt>
                <c:pt idx="482">
                  <c:v>0.3347222222222212</c:v>
                </c:pt>
                <c:pt idx="483">
                  <c:v>0.33541666666666564</c:v>
                </c:pt>
                <c:pt idx="484">
                  <c:v>0.33611111111111008</c:v>
                </c:pt>
                <c:pt idx="485">
                  <c:v>0.33680555555555453</c:v>
                </c:pt>
                <c:pt idx="486">
                  <c:v>0.33749999999999897</c:v>
                </c:pt>
                <c:pt idx="487">
                  <c:v>0.33819444444444341</c:v>
                </c:pt>
                <c:pt idx="488">
                  <c:v>0.33888888888888785</c:v>
                </c:pt>
                <c:pt idx="489">
                  <c:v>0.33958333333333229</c:v>
                </c:pt>
                <c:pt idx="490">
                  <c:v>0.34027777777777674</c:v>
                </c:pt>
                <c:pt idx="491">
                  <c:v>0.34097222222222118</c:v>
                </c:pt>
                <c:pt idx="492">
                  <c:v>0.34166666666666562</c:v>
                </c:pt>
                <c:pt idx="493">
                  <c:v>0.34236111111111006</c:v>
                </c:pt>
                <c:pt idx="494">
                  <c:v>0.3430555555555545</c:v>
                </c:pt>
                <c:pt idx="495">
                  <c:v>0.34374999999999895</c:v>
                </c:pt>
                <c:pt idx="496">
                  <c:v>0.34444444444444339</c:v>
                </c:pt>
                <c:pt idx="497">
                  <c:v>0.34513888888888783</c:v>
                </c:pt>
                <c:pt idx="498">
                  <c:v>0.34583333333333227</c:v>
                </c:pt>
                <c:pt idx="499">
                  <c:v>0.34652777777777671</c:v>
                </c:pt>
                <c:pt idx="500">
                  <c:v>0.34722222222222116</c:v>
                </c:pt>
                <c:pt idx="501">
                  <c:v>0.3479166666666656</c:v>
                </c:pt>
                <c:pt idx="502">
                  <c:v>0.34861111111111004</c:v>
                </c:pt>
                <c:pt idx="503">
                  <c:v>0.34930555555555448</c:v>
                </c:pt>
                <c:pt idx="504">
                  <c:v>0.34999999999999892</c:v>
                </c:pt>
                <c:pt idx="505">
                  <c:v>0.35069444444444337</c:v>
                </c:pt>
                <c:pt idx="506">
                  <c:v>0.35138888888888781</c:v>
                </c:pt>
                <c:pt idx="507">
                  <c:v>0.35208333333333225</c:v>
                </c:pt>
                <c:pt idx="508">
                  <c:v>0.35277777777777669</c:v>
                </c:pt>
                <c:pt idx="509">
                  <c:v>0.35347222222222113</c:v>
                </c:pt>
                <c:pt idx="510">
                  <c:v>0.35416666666666557</c:v>
                </c:pt>
                <c:pt idx="511">
                  <c:v>0.35486111111111002</c:v>
                </c:pt>
                <c:pt idx="512">
                  <c:v>0.35555555555555446</c:v>
                </c:pt>
                <c:pt idx="513">
                  <c:v>0.3562499999999989</c:v>
                </c:pt>
                <c:pt idx="514">
                  <c:v>0.35694444444444334</c:v>
                </c:pt>
                <c:pt idx="515">
                  <c:v>0.35763888888888778</c:v>
                </c:pt>
                <c:pt idx="516">
                  <c:v>0.35833333333333223</c:v>
                </c:pt>
                <c:pt idx="517">
                  <c:v>0.35902777777777667</c:v>
                </c:pt>
                <c:pt idx="518">
                  <c:v>0.35972222222222111</c:v>
                </c:pt>
                <c:pt idx="519">
                  <c:v>0.36041666666666555</c:v>
                </c:pt>
                <c:pt idx="520">
                  <c:v>0.36111111111110999</c:v>
                </c:pt>
                <c:pt idx="521">
                  <c:v>0.36180555555555444</c:v>
                </c:pt>
                <c:pt idx="522">
                  <c:v>0.36249999999999888</c:v>
                </c:pt>
                <c:pt idx="523">
                  <c:v>0.36319444444444332</c:v>
                </c:pt>
                <c:pt idx="524">
                  <c:v>0.36388888888888776</c:v>
                </c:pt>
                <c:pt idx="525">
                  <c:v>0.3645833333333322</c:v>
                </c:pt>
                <c:pt idx="526">
                  <c:v>0.36527777777777665</c:v>
                </c:pt>
                <c:pt idx="527">
                  <c:v>0.36597222222222109</c:v>
                </c:pt>
                <c:pt idx="528">
                  <c:v>0.36666666666666553</c:v>
                </c:pt>
                <c:pt idx="529">
                  <c:v>0.36736111111110997</c:v>
                </c:pt>
                <c:pt idx="530">
                  <c:v>0.36805555555555441</c:v>
                </c:pt>
                <c:pt idx="531">
                  <c:v>0.36874999999999886</c:v>
                </c:pt>
                <c:pt idx="532">
                  <c:v>0.3694444444444433</c:v>
                </c:pt>
                <c:pt idx="533">
                  <c:v>0.37013888888888774</c:v>
                </c:pt>
                <c:pt idx="534">
                  <c:v>0.37083333333333218</c:v>
                </c:pt>
                <c:pt idx="535">
                  <c:v>0.37152777777777662</c:v>
                </c:pt>
                <c:pt idx="536">
                  <c:v>0.37222222222222107</c:v>
                </c:pt>
                <c:pt idx="537">
                  <c:v>0.37291666666666551</c:v>
                </c:pt>
                <c:pt idx="538">
                  <c:v>0.37361111111110995</c:v>
                </c:pt>
                <c:pt idx="539">
                  <c:v>0.37430555555555439</c:v>
                </c:pt>
                <c:pt idx="540">
                  <c:v>0.37499999999999883</c:v>
                </c:pt>
                <c:pt idx="541">
                  <c:v>0.37569444444444328</c:v>
                </c:pt>
                <c:pt idx="542">
                  <c:v>0.37638888888888772</c:v>
                </c:pt>
                <c:pt idx="543">
                  <c:v>0.37708333333333216</c:v>
                </c:pt>
                <c:pt idx="544">
                  <c:v>0.3777777777777766</c:v>
                </c:pt>
                <c:pt idx="545">
                  <c:v>0.37847222222222104</c:v>
                </c:pt>
                <c:pt idx="546">
                  <c:v>0.37916666666666549</c:v>
                </c:pt>
                <c:pt idx="547">
                  <c:v>0.37986111111110993</c:v>
                </c:pt>
                <c:pt idx="548">
                  <c:v>0.38055555555555437</c:v>
                </c:pt>
                <c:pt idx="549">
                  <c:v>0.38124999999999881</c:v>
                </c:pt>
                <c:pt idx="550">
                  <c:v>0.38194444444444325</c:v>
                </c:pt>
                <c:pt idx="551">
                  <c:v>0.3826388888888877</c:v>
                </c:pt>
                <c:pt idx="552">
                  <c:v>0.38333333333333214</c:v>
                </c:pt>
                <c:pt idx="553">
                  <c:v>0.38402777777777658</c:v>
                </c:pt>
                <c:pt idx="554">
                  <c:v>0.38472222222222102</c:v>
                </c:pt>
                <c:pt idx="555">
                  <c:v>0.38541666666666546</c:v>
                </c:pt>
                <c:pt idx="556">
                  <c:v>0.38611111111110991</c:v>
                </c:pt>
                <c:pt idx="557">
                  <c:v>0.38680555555555435</c:v>
                </c:pt>
                <c:pt idx="558">
                  <c:v>0.38749999999999879</c:v>
                </c:pt>
                <c:pt idx="559">
                  <c:v>0.38819444444444323</c:v>
                </c:pt>
                <c:pt idx="560">
                  <c:v>0.38888888888888767</c:v>
                </c:pt>
                <c:pt idx="561">
                  <c:v>0.38958333333333212</c:v>
                </c:pt>
                <c:pt idx="562">
                  <c:v>0.39027777777777656</c:v>
                </c:pt>
                <c:pt idx="563">
                  <c:v>0.390972222222221</c:v>
                </c:pt>
                <c:pt idx="564">
                  <c:v>0.39166666666666544</c:v>
                </c:pt>
                <c:pt idx="565">
                  <c:v>0.39236111111110988</c:v>
                </c:pt>
                <c:pt idx="566">
                  <c:v>0.39305555555555433</c:v>
                </c:pt>
                <c:pt idx="567">
                  <c:v>0.39374999999999877</c:v>
                </c:pt>
                <c:pt idx="568">
                  <c:v>0.39444444444444321</c:v>
                </c:pt>
                <c:pt idx="569">
                  <c:v>0.39513888888888765</c:v>
                </c:pt>
                <c:pt idx="570">
                  <c:v>0.39583333333333209</c:v>
                </c:pt>
                <c:pt idx="571">
                  <c:v>0.39652777777777654</c:v>
                </c:pt>
                <c:pt idx="572">
                  <c:v>0.39722222222222098</c:v>
                </c:pt>
                <c:pt idx="573">
                  <c:v>0.39791666666666542</c:v>
                </c:pt>
                <c:pt idx="574">
                  <c:v>0.39861111111110986</c:v>
                </c:pt>
                <c:pt idx="575">
                  <c:v>0.3993055555555543</c:v>
                </c:pt>
                <c:pt idx="576">
                  <c:v>0.39999999999999875</c:v>
                </c:pt>
                <c:pt idx="577">
                  <c:v>0.40069444444444319</c:v>
                </c:pt>
                <c:pt idx="578">
                  <c:v>0.40138888888888763</c:v>
                </c:pt>
                <c:pt idx="579">
                  <c:v>0.40208333333333207</c:v>
                </c:pt>
                <c:pt idx="580">
                  <c:v>0.40277777777777651</c:v>
                </c:pt>
                <c:pt idx="581">
                  <c:v>0.40347222222222096</c:v>
                </c:pt>
                <c:pt idx="582">
                  <c:v>0.4041666666666654</c:v>
                </c:pt>
                <c:pt idx="583">
                  <c:v>0.40486111111110984</c:v>
                </c:pt>
                <c:pt idx="584">
                  <c:v>0.40555555555555428</c:v>
                </c:pt>
                <c:pt idx="585">
                  <c:v>0.40624999999999872</c:v>
                </c:pt>
                <c:pt idx="586">
                  <c:v>0.40694444444444317</c:v>
                </c:pt>
                <c:pt idx="587">
                  <c:v>0.40763888888888761</c:v>
                </c:pt>
                <c:pt idx="588">
                  <c:v>0.40833333333333205</c:v>
                </c:pt>
                <c:pt idx="589">
                  <c:v>0.40902777777777649</c:v>
                </c:pt>
                <c:pt idx="590">
                  <c:v>0.40972222222222093</c:v>
                </c:pt>
                <c:pt idx="591">
                  <c:v>0.41041666666666538</c:v>
                </c:pt>
                <c:pt idx="592">
                  <c:v>0.41111111111110982</c:v>
                </c:pt>
                <c:pt idx="593">
                  <c:v>0.41180555555555426</c:v>
                </c:pt>
                <c:pt idx="594">
                  <c:v>0.4124999999999987</c:v>
                </c:pt>
                <c:pt idx="595">
                  <c:v>0.41319444444444314</c:v>
                </c:pt>
                <c:pt idx="596">
                  <c:v>0.41388888888888758</c:v>
                </c:pt>
                <c:pt idx="597">
                  <c:v>0.41458333333333203</c:v>
                </c:pt>
                <c:pt idx="598">
                  <c:v>0.41527777777777647</c:v>
                </c:pt>
                <c:pt idx="599">
                  <c:v>0.41597222222222091</c:v>
                </c:pt>
                <c:pt idx="600">
                  <c:v>0.41666666666666535</c:v>
                </c:pt>
                <c:pt idx="601">
                  <c:v>0.41736111111110979</c:v>
                </c:pt>
                <c:pt idx="602">
                  <c:v>0.41805555555555424</c:v>
                </c:pt>
                <c:pt idx="603">
                  <c:v>0.41874999999999868</c:v>
                </c:pt>
                <c:pt idx="604">
                  <c:v>0.41944444444444312</c:v>
                </c:pt>
                <c:pt idx="605">
                  <c:v>0.42013888888888756</c:v>
                </c:pt>
                <c:pt idx="606">
                  <c:v>0.420833333333332</c:v>
                </c:pt>
                <c:pt idx="607">
                  <c:v>0.42152777777777645</c:v>
                </c:pt>
                <c:pt idx="608">
                  <c:v>0.42222222222222089</c:v>
                </c:pt>
                <c:pt idx="609">
                  <c:v>0.42291666666666533</c:v>
                </c:pt>
                <c:pt idx="610">
                  <c:v>0.42361111111110977</c:v>
                </c:pt>
                <c:pt idx="611">
                  <c:v>0.42430555555555421</c:v>
                </c:pt>
                <c:pt idx="612">
                  <c:v>0.42499999999999866</c:v>
                </c:pt>
                <c:pt idx="613">
                  <c:v>0.4256944444444431</c:v>
                </c:pt>
                <c:pt idx="614">
                  <c:v>0.42638888888888754</c:v>
                </c:pt>
                <c:pt idx="615">
                  <c:v>0.42708333333333198</c:v>
                </c:pt>
                <c:pt idx="616">
                  <c:v>0.42777777777777642</c:v>
                </c:pt>
                <c:pt idx="617">
                  <c:v>0.42847222222222087</c:v>
                </c:pt>
                <c:pt idx="618">
                  <c:v>0.42916666666666531</c:v>
                </c:pt>
                <c:pt idx="619">
                  <c:v>0.42986111111110975</c:v>
                </c:pt>
                <c:pt idx="620">
                  <c:v>0.43055555555555419</c:v>
                </c:pt>
                <c:pt idx="621">
                  <c:v>0.43124999999999863</c:v>
                </c:pt>
                <c:pt idx="622">
                  <c:v>0.43194444444444308</c:v>
                </c:pt>
                <c:pt idx="623">
                  <c:v>0.43263888888888752</c:v>
                </c:pt>
                <c:pt idx="624">
                  <c:v>0.43333333333333196</c:v>
                </c:pt>
                <c:pt idx="625">
                  <c:v>0.4340277777777764</c:v>
                </c:pt>
                <c:pt idx="626">
                  <c:v>0.43472222222222084</c:v>
                </c:pt>
                <c:pt idx="627">
                  <c:v>0.43541666666666529</c:v>
                </c:pt>
                <c:pt idx="628">
                  <c:v>0.43611111111110973</c:v>
                </c:pt>
                <c:pt idx="629">
                  <c:v>0.43680555555555417</c:v>
                </c:pt>
                <c:pt idx="630">
                  <c:v>0.43749999999999861</c:v>
                </c:pt>
                <c:pt idx="631">
                  <c:v>0.43819444444444305</c:v>
                </c:pt>
                <c:pt idx="632">
                  <c:v>0.4388888888888875</c:v>
                </c:pt>
                <c:pt idx="633">
                  <c:v>0.43958333333333194</c:v>
                </c:pt>
                <c:pt idx="634">
                  <c:v>0.44027777777777638</c:v>
                </c:pt>
                <c:pt idx="635">
                  <c:v>0.44097222222222082</c:v>
                </c:pt>
                <c:pt idx="636">
                  <c:v>0.44166666666666526</c:v>
                </c:pt>
                <c:pt idx="637">
                  <c:v>0.44236111111110971</c:v>
                </c:pt>
                <c:pt idx="638">
                  <c:v>0.44305555555555415</c:v>
                </c:pt>
                <c:pt idx="639">
                  <c:v>0.44374999999999859</c:v>
                </c:pt>
                <c:pt idx="640">
                  <c:v>0.44444444444444303</c:v>
                </c:pt>
                <c:pt idx="641">
                  <c:v>0.44513888888888747</c:v>
                </c:pt>
                <c:pt idx="642">
                  <c:v>0.44583333333333192</c:v>
                </c:pt>
                <c:pt idx="643">
                  <c:v>0.44652777777777636</c:v>
                </c:pt>
                <c:pt idx="644">
                  <c:v>0.4472222222222208</c:v>
                </c:pt>
                <c:pt idx="645">
                  <c:v>0.44791666666666524</c:v>
                </c:pt>
                <c:pt idx="646">
                  <c:v>0.44861111111110968</c:v>
                </c:pt>
                <c:pt idx="647">
                  <c:v>0.44930555555555413</c:v>
                </c:pt>
                <c:pt idx="648">
                  <c:v>0.44999999999999857</c:v>
                </c:pt>
                <c:pt idx="649">
                  <c:v>0.45069444444444301</c:v>
                </c:pt>
                <c:pt idx="650">
                  <c:v>0.45138888888888745</c:v>
                </c:pt>
                <c:pt idx="651">
                  <c:v>0.45208333333333189</c:v>
                </c:pt>
                <c:pt idx="652">
                  <c:v>0.45277777777777634</c:v>
                </c:pt>
                <c:pt idx="653">
                  <c:v>0.45347222222222078</c:v>
                </c:pt>
                <c:pt idx="654">
                  <c:v>0.45416666666666522</c:v>
                </c:pt>
                <c:pt idx="655">
                  <c:v>0.45486111111110966</c:v>
                </c:pt>
                <c:pt idx="656">
                  <c:v>0.4555555555555541</c:v>
                </c:pt>
                <c:pt idx="657">
                  <c:v>0.45624999999999855</c:v>
                </c:pt>
                <c:pt idx="658">
                  <c:v>0.45694444444444299</c:v>
                </c:pt>
                <c:pt idx="659">
                  <c:v>0.45763888888888743</c:v>
                </c:pt>
                <c:pt idx="660">
                  <c:v>0.45833333333333187</c:v>
                </c:pt>
                <c:pt idx="661">
                  <c:v>0.45902777777777631</c:v>
                </c:pt>
                <c:pt idx="662">
                  <c:v>0.45972222222222076</c:v>
                </c:pt>
                <c:pt idx="663">
                  <c:v>0.4604166666666652</c:v>
                </c:pt>
                <c:pt idx="664">
                  <c:v>0.46111111111110964</c:v>
                </c:pt>
                <c:pt idx="665">
                  <c:v>0.46180555555555408</c:v>
                </c:pt>
                <c:pt idx="666">
                  <c:v>0.46249999999999852</c:v>
                </c:pt>
                <c:pt idx="667">
                  <c:v>0.46319444444444297</c:v>
                </c:pt>
                <c:pt idx="668">
                  <c:v>0.46388888888888741</c:v>
                </c:pt>
                <c:pt idx="669">
                  <c:v>0.46458333333333185</c:v>
                </c:pt>
                <c:pt idx="670">
                  <c:v>0.46527777777777629</c:v>
                </c:pt>
                <c:pt idx="671">
                  <c:v>0.46597222222222073</c:v>
                </c:pt>
                <c:pt idx="672">
                  <c:v>0.46666666666666518</c:v>
                </c:pt>
                <c:pt idx="673">
                  <c:v>0.46736111111110962</c:v>
                </c:pt>
                <c:pt idx="674">
                  <c:v>0.46805555555555406</c:v>
                </c:pt>
                <c:pt idx="675">
                  <c:v>0.4687499999999985</c:v>
                </c:pt>
                <c:pt idx="676">
                  <c:v>0.46944444444444294</c:v>
                </c:pt>
                <c:pt idx="677">
                  <c:v>0.47013888888888739</c:v>
                </c:pt>
                <c:pt idx="678">
                  <c:v>0.47083333333333183</c:v>
                </c:pt>
                <c:pt idx="679">
                  <c:v>0.47152777777777627</c:v>
                </c:pt>
                <c:pt idx="680">
                  <c:v>0.47222222222222071</c:v>
                </c:pt>
                <c:pt idx="681">
                  <c:v>0.47291666666666515</c:v>
                </c:pt>
                <c:pt idx="682">
                  <c:v>0.4736111111111096</c:v>
                </c:pt>
                <c:pt idx="683">
                  <c:v>0.47430555555555404</c:v>
                </c:pt>
                <c:pt idx="684">
                  <c:v>0.47499999999999848</c:v>
                </c:pt>
                <c:pt idx="685">
                  <c:v>0.47569444444444292</c:v>
                </c:pt>
                <c:pt idx="686">
                  <c:v>0.47638888888888736</c:v>
                </c:pt>
                <c:pt idx="687">
                  <c:v>0.4770833333333318</c:v>
                </c:pt>
                <c:pt idx="688">
                  <c:v>0.47777777777777625</c:v>
                </c:pt>
                <c:pt idx="689">
                  <c:v>0.47847222222222069</c:v>
                </c:pt>
                <c:pt idx="690">
                  <c:v>0.47916666666666513</c:v>
                </c:pt>
                <c:pt idx="691">
                  <c:v>0.47986111111110957</c:v>
                </c:pt>
                <c:pt idx="692">
                  <c:v>0.48055555555555401</c:v>
                </c:pt>
                <c:pt idx="693">
                  <c:v>0.48124999999999846</c:v>
                </c:pt>
                <c:pt idx="694">
                  <c:v>0.4819444444444429</c:v>
                </c:pt>
                <c:pt idx="695">
                  <c:v>0.48263888888888734</c:v>
                </c:pt>
                <c:pt idx="696">
                  <c:v>0.48333333333333178</c:v>
                </c:pt>
                <c:pt idx="697">
                  <c:v>0.48402777777777622</c:v>
                </c:pt>
                <c:pt idx="698">
                  <c:v>0.48472222222222067</c:v>
                </c:pt>
                <c:pt idx="699">
                  <c:v>0.48541666666666511</c:v>
                </c:pt>
                <c:pt idx="700">
                  <c:v>0.48611111111110955</c:v>
                </c:pt>
                <c:pt idx="701">
                  <c:v>0.48680555555555399</c:v>
                </c:pt>
                <c:pt idx="702">
                  <c:v>0.48749999999999843</c:v>
                </c:pt>
                <c:pt idx="703">
                  <c:v>0.48819444444444288</c:v>
                </c:pt>
                <c:pt idx="704">
                  <c:v>0.48888888888888732</c:v>
                </c:pt>
                <c:pt idx="705">
                  <c:v>0.48958333333333176</c:v>
                </c:pt>
                <c:pt idx="706">
                  <c:v>0.4902777777777762</c:v>
                </c:pt>
                <c:pt idx="707">
                  <c:v>0.49097222222222064</c:v>
                </c:pt>
                <c:pt idx="708">
                  <c:v>0.49166666666666509</c:v>
                </c:pt>
                <c:pt idx="709">
                  <c:v>0.49236111111110953</c:v>
                </c:pt>
                <c:pt idx="710">
                  <c:v>0.49305555555555397</c:v>
                </c:pt>
                <c:pt idx="711">
                  <c:v>0.49374999999999841</c:v>
                </c:pt>
                <c:pt idx="712">
                  <c:v>0.49444444444444285</c:v>
                </c:pt>
                <c:pt idx="713">
                  <c:v>0.4951388888888873</c:v>
                </c:pt>
                <c:pt idx="714">
                  <c:v>0.49583333333333174</c:v>
                </c:pt>
                <c:pt idx="715">
                  <c:v>0.49652777777777618</c:v>
                </c:pt>
                <c:pt idx="716">
                  <c:v>0.49722222222222062</c:v>
                </c:pt>
                <c:pt idx="717">
                  <c:v>0.49791666666666506</c:v>
                </c:pt>
                <c:pt idx="718">
                  <c:v>0.49861111111110951</c:v>
                </c:pt>
                <c:pt idx="719">
                  <c:v>0.49930555555555395</c:v>
                </c:pt>
                <c:pt idx="720">
                  <c:v>0.49999999999999839</c:v>
                </c:pt>
                <c:pt idx="721">
                  <c:v>0.50069444444444289</c:v>
                </c:pt>
                <c:pt idx="722">
                  <c:v>0.50138888888888733</c:v>
                </c:pt>
                <c:pt idx="723">
                  <c:v>0.50208333333333177</c:v>
                </c:pt>
                <c:pt idx="724">
                  <c:v>0.50277777777777621</c:v>
                </c:pt>
                <c:pt idx="725">
                  <c:v>0.50347222222222066</c:v>
                </c:pt>
                <c:pt idx="726">
                  <c:v>0.5041666666666651</c:v>
                </c:pt>
                <c:pt idx="727">
                  <c:v>0.50486111111110954</c:v>
                </c:pt>
                <c:pt idx="728">
                  <c:v>0.50555555555555398</c:v>
                </c:pt>
                <c:pt idx="729">
                  <c:v>0.50624999999999842</c:v>
                </c:pt>
                <c:pt idx="730">
                  <c:v>0.50694444444444287</c:v>
                </c:pt>
                <c:pt idx="731">
                  <c:v>0.50763888888888731</c:v>
                </c:pt>
                <c:pt idx="732">
                  <c:v>0.50833333333333175</c:v>
                </c:pt>
                <c:pt idx="733">
                  <c:v>0.50902777777777619</c:v>
                </c:pt>
                <c:pt idx="734">
                  <c:v>0.50972222222222063</c:v>
                </c:pt>
                <c:pt idx="735">
                  <c:v>0.51041666666666508</c:v>
                </c:pt>
                <c:pt idx="736">
                  <c:v>0.51111111111110952</c:v>
                </c:pt>
                <c:pt idx="737">
                  <c:v>0.51180555555555396</c:v>
                </c:pt>
                <c:pt idx="738">
                  <c:v>0.5124999999999984</c:v>
                </c:pt>
                <c:pt idx="739">
                  <c:v>0.51319444444444284</c:v>
                </c:pt>
                <c:pt idx="740">
                  <c:v>0.51388888888888729</c:v>
                </c:pt>
                <c:pt idx="741">
                  <c:v>0.51458333333333173</c:v>
                </c:pt>
                <c:pt idx="742">
                  <c:v>0.51527777777777617</c:v>
                </c:pt>
                <c:pt idx="743">
                  <c:v>0.51597222222222061</c:v>
                </c:pt>
                <c:pt idx="744">
                  <c:v>0.51666666666666505</c:v>
                </c:pt>
                <c:pt idx="745">
                  <c:v>0.5173611111111095</c:v>
                </c:pt>
                <c:pt idx="746">
                  <c:v>0.51805555555555394</c:v>
                </c:pt>
                <c:pt idx="747">
                  <c:v>0.51874999999999838</c:v>
                </c:pt>
                <c:pt idx="748">
                  <c:v>0.51944444444444282</c:v>
                </c:pt>
                <c:pt idx="749">
                  <c:v>0.52013888888888726</c:v>
                </c:pt>
                <c:pt idx="750">
                  <c:v>0.52083333333333171</c:v>
                </c:pt>
                <c:pt idx="751">
                  <c:v>0.52152777777777615</c:v>
                </c:pt>
                <c:pt idx="752">
                  <c:v>0.52222222222222059</c:v>
                </c:pt>
                <c:pt idx="753">
                  <c:v>0.52291666666666503</c:v>
                </c:pt>
                <c:pt idx="754">
                  <c:v>0.52361111111110947</c:v>
                </c:pt>
                <c:pt idx="755">
                  <c:v>0.52430555555555391</c:v>
                </c:pt>
                <c:pt idx="756">
                  <c:v>0.52499999999999836</c:v>
                </c:pt>
                <c:pt idx="757">
                  <c:v>0.5256944444444428</c:v>
                </c:pt>
                <c:pt idx="758">
                  <c:v>0.52638888888888724</c:v>
                </c:pt>
                <c:pt idx="759">
                  <c:v>0.52708333333333168</c:v>
                </c:pt>
                <c:pt idx="760">
                  <c:v>0.52777777777777612</c:v>
                </c:pt>
                <c:pt idx="761">
                  <c:v>0.52847222222222057</c:v>
                </c:pt>
                <c:pt idx="762">
                  <c:v>0.52916666666666501</c:v>
                </c:pt>
                <c:pt idx="763">
                  <c:v>0.52986111111110945</c:v>
                </c:pt>
                <c:pt idx="764">
                  <c:v>0.53055555555555389</c:v>
                </c:pt>
                <c:pt idx="765">
                  <c:v>0.53124999999999833</c:v>
                </c:pt>
                <c:pt idx="766">
                  <c:v>0.53194444444444278</c:v>
                </c:pt>
                <c:pt idx="767">
                  <c:v>0.53263888888888722</c:v>
                </c:pt>
                <c:pt idx="768">
                  <c:v>0.53333333333333166</c:v>
                </c:pt>
                <c:pt idx="769">
                  <c:v>0.5340277777777761</c:v>
                </c:pt>
                <c:pt idx="770">
                  <c:v>0.53472222222222054</c:v>
                </c:pt>
                <c:pt idx="771">
                  <c:v>0.53541666666666499</c:v>
                </c:pt>
                <c:pt idx="772">
                  <c:v>0.53611111111110943</c:v>
                </c:pt>
                <c:pt idx="773">
                  <c:v>0.53680555555555387</c:v>
                </c:pt>
                <c:pt idx="774">
                  <c:v>0.53749999999999831</c:v>
                </c:pt>
                <c:pt idx="775">
                  <c:v>0.53819444444444275</c:v>
                </c:pt>
                <c:pt idx="776">
                  <c:v>0.5388888888888872</c:v>
                </c:pt>
                <c:pt idx="777">
                  <c:v>0.53958333333333164</c:v>
                </c:pt>
                <c:pt idx="778">
                  <c:v>0.54027777777777608</c:v>
                </c:pt>
                <c:pt idx="779">
                  <c:v>0.54097222222222052</c:v>
                </c:pt>
                <c:pt idx="780">
                  <c:v>0.54166666666666496</c:v>
                </c:pt>
                <c:pt idx="781">
                  <c:v>0.54236111111110941</c:v>
                </c:pt>
                <c:pt idx="782">
                  <c:v>0.54305555555555385</c:v>
                </c:pt>
                <c:pt idx="783">
                  <c:v>0.54374999999999829</c:v>
                </c:pt>
                <c:pt idx="784">
                  <c:v>0.54444444444444273</c:v>
                </c:pt>
                <c:pt idx="785">
                  <c:v>0.54513888888888717</c:v>
                </c:pt>
                <c:pt idx="786">
                  <c:v>0.54583333333333162</c:v>
                </c:pt>
                <c:pt idx="787">
                  <c:v>0.54652777777777606</c:v>
                </c:pt>
                <c:pt idx="788">
                  <c:v>0.5472222222222205</c:v>
                </c:pt>
                <c:pt idx="789">
                  <c:v>0.54791666666666494</c:v>
                </c:pt>
                <c:pt idx="790">
                  <c:v>0.54861111111110938</c:v>
                </c:pt>
                <c:pt idx="791">
                  <c:v>0.54930555555555383</c:v>
                </c:pt>
                <c:pt idx="792">
                  <c:v>0.54999999999999827</c:v>
                </c:pt>
                <c:pt idx="793">
                  <c:v>0.55069444444444271</c:v>
                </c:pt>
                <c:pt idx="794">
                  <c:v>0.55138888888888715</c:v>
                </c:pt>
                <c:pt idx="795">
                  <c:v>0.55208333333333159</c:v>
                </c:pt>
                <c:pt idx="796">
                  <c:v>0.55277777777777604</c:v>
                </c:pt>
                <c:pt idx="797">
                  <c:v>0.55347222222222048</c:v>
                </c:pt>
                <c:pt idx="798">
                  <c:v>0.55416666666666492</c:v>
                </c:pt>
                <c:pt idx="799">
                  <c:v>0.55486111111110936</c:v>
                </c:pt>
                <c:pt idx="800">
                  <c:v>0.5555555555555538</c:v>
                </c:pt>
                <c:pt idx="801">
                  <c:v>0.55624999999999825</c:v>
                </c:pt>
                <c:pt idx="802">
                  <c:v>0.55694444444444269</c:v>
                </c:pt>
                <c:pt idx="803">
                  <c:v>0.55763888888888713</c:v>
                </c:pt>
                <c:pt idx="804">
                  <c:v>0.55833333333333157</c:v>
                </c:pt>
                <c:pt idx="805">
                  <c:v>0.55902777777777601</c:v>
                </c:pt>
                <c:pt idx="806">
                  <c:v>0.55972222222222046</c:v>
                </c:pt>
                <c:pt idx="807">
                  <c:v>0.5604166666666649</c:v>
                </c:pt>
                <c:pt idx="808">
                  <c:v>0.56111111111110934</c:v>
                </c:pt>
                <c:pt idx="809">
                  <c:v>0.56180555555555378</c:v>
                </c:pt>
                <c:pt idx="810">
                  <c:v>0.56249999999999822</c:v>
                </c:pt>
                <c:pt idx="811">
                  <c:v>0.56319444444444267</c:v>
                </c:pt>
                <c:pt idx="812">
                  <c:v>0.56388888888888711</c:v>
                </c:pt>
                <c:pt idx="813">
                  <c:v>0.56458333333333155</c:v>
                </c:pt>
                <c:pt idx="814">
                  <c:v>0.56527777777777599</c:v>
                </c:pt>
                <c:pt idx="815">
                  <c:v>0.56597222222222043</c:v>
                </c:pt>
                <c:pt idx="816">
                  <c:v>0.56666666666666488</c:v>
                </c:pt>
                <c:pt idx="817">
                  <c:v>0.56736111111110932</c:v>
                </c:pt>
                <c:pt idx="818">
                  <c:v>0.56805555555555376</c:v>
                </c:pt>
                <c:pt idx="819">
                  <c:v>0.5687499999999982</c:v>
                </c:pt>
                <c:pt idx="820">
                  <c:v>0.56944444444444264</c:v>
                </c:pt>
                <c:pt idx="821">
                  <c:v>0.57013888888888709</c:v>
                </c:pt>
                <c:pt idx="822">
                  <c:v>0.57083333333333153</c:v>
                </c:pt>
                <c:pt idx="823">
                  <c:v>0.57152777777777597</c:v>
                </c:pt>
                <c:pt idx="824">
                  <c:v>0.57222222222222041</c:v>
                </c:pt>
                <c:pt idx="825">
                  <c:v>0.57291666666666485</c:v>
                </c:pt>
                <c:pt idx="826">
                  <c:v>0.5736111111111093</c:v>
                </c:pt>
                <c:pt idx="827">
                  <c:v>0.57430555555555374</c:v>
                </c:pt>
                <c:pt idx="828">
                  <c:v>0.57499999999999818</c:v>
                </c:pt>
                <c:pt idx="829">
                  <c:v>0.57569444444444262</c:v>
                </c:pt>
                <c:pt idx="830">
                  <c:v>0.57638888888888706</c:v>
                </c:pt>
                <c:pt idx="831">
                  <c:v>0.57708333333333151</c:v>
                </c:pt>
                <c:pt idx="832">
                  <c:v>0.57777777777777595</c:v>
                </c:pt>
                <c:pt idx="833">
                  <c:v>0.57847222222222039</c:v>
                </c:pt>
                <c:pt idx="834">
                  <c:v>0.57916666666666483</c:v>
                </c:pt>
                <c:pt idx="835">
                  <c:v>0.57986111111110927</c:v>
                </c:pt>
                <c:pt idx="836">
                  <c:v>0.58055555555555372</c:v>
                </c:pt>
                <c:pt idx="837">
                  <c:v>0.58124999999999816</c:v>
                </c:pt>
                <c:pt idx="838">
                  <c:v>0.5819444444444426</c:v>
                </c:pt>
                <c:pt idx="839">
                  <c:v>0.58263888888888704</c:v>
                </c:pt>
                <c:pt idx="840">
                  <c:v>0.58333333333333148</c:v>
                </c:pt>
                <c:pt idx="841">
                  <c:v>0.58402777777777592</c:v>
                </c:pt>
                <c:pt idx="842">
                  <c:v>0.58472222222222037</c:v>
                </c:pt>
                <c:pt idx="843">
                  <c:v>0.58541666666666481</c:v>
                </c:pt>
                <c:pt idx="844">
                  <c:v>0.58611111111110925</c:v>
                </c:pt>
                <c:pt idx="845">
                  <c:v>0.58680555555555369</c:v>
                </c:pt>
                <c:pt idx="846">
                  <c:v>0.58749999999999813</c:v>
                </c:pt>
                <c:pt idx="847">
                  <c:v>0.58819444444444258</c:v>
                </c:pt>
                <c:pt idx="848">
                  <c:v>0.58888888888888702</c:v>
                </c:pt>
                <c:pt idx="849">
                  <c:v>0.58958333333333146</c:v>
                </c:pt>
                <c:pt idx="850">
                  <c:v>0.5902777777777759</c:v>
                </c:pt>
                <c:pt idx="851">
                  <c:v>0.59097222222222034</c:v>
                </c:pt>
                <c:pt idx="852">
                  <c:v>0.59166666666666479</c:v>
                </c:pt>
                <c:pt idx="853">
                  <c:v>0.59236111111110923</c:v>
                </c:pt>
                <c:pt idx="854">
                  <c:v>0.59305555555555367</c:v>
                </c:pt>
                <c:pt idx="855">
                  <c:v>0.59374999999999811</c:v>
                </c:pt>
                <c:pt idx="856">
                  <c:v>0.59444444444444255</c:v>
                </c:pt>
                <c:pt idx="857">
                  <c:v>0.595138888888887</c:v>
                </c:pt>
                <c:pt idx="858">
                  <c:v>0.59583333333333144</c:v>
                </c:pt>
                <c:pt idx="859">
                  <c:v>0.59652777777777588</c:v>
                </c:pt>
                <c:pt idx="860">
                  <c:v>0.59722222222222032</c:v>
                </c:pt>
                <c:pt idx="861">
                  <c:v>0.59791666666666476</c:v>
                </c:pt>
                <c:pt idx="862">
                  <c:v>0.59861111111110921</c:v>
                </c:pt>
                <c:pt idx="863">
                  <c:v>0.59930555555555365</c:v>
                </c:pt>
                <c:pt idx="864">
                  <c:v>0.59999999999999809</c:v>
                </c:pt>
                <c:pt idx="865">
                  <c:v>0.60069444444444253</c:v>
                </c:pt>
                <c:pt idx="866">
                  <c:v>0.60138888888888697</c:v>
                </c:pt>
                <c:pt idx="867">
                  <c:v>0.60208333333333142</c:v>
                </c:pt>
                <c:pt idx="868">
                  <c:v>0.60277777777777586</c:v>
                </c:pt>
                <c:pt idx="869">
                  <c:v>0.6034722222222203</c:v>
                </c:pt>
                <c:pt idx="870">
                  <c:v>0.60416666666666474</c:v>
                </c:pt>
                <c:pt idx="871">
                  <c:v>0.60486111111110918</c:v>
                </c:pt>
                <c:pt idx="872">
                  <c:v>0.60555555555555363</c:v>
                </c:pt>
                <c:pt idx="873">
                  <c:v>0.60624999999999807</c:v>
                </c:pt>
                <c:pt idx="874">
                  <c:v>0.60694444444444251</c:v>
                </c:pt>
                <c:pt idx="875">
                  <c:v>0.60763888888888695</c:v>
                </c:pt>
                <c:pt idx="876">
                  <c:v>0.60833333333333139</c:v>
                </c:pt>
                <c:pt idx="877">
                  <c:v>0.60902777777777584</c:v>
                </c:pt>
                <c:pt idx="878">
                  <c:v>0.60972222222222028</c:v>
                </c:pt>
                <c:pt idx="879">
                  <c:v>0.61041666666666472</c:v>
                </c:pt>
                <c:pt idx="880">
                  <c:v>0.61111111111110916</c:v>
                </c:pt>
                <c:pt idx="881">
                  <c:v>0.6118055555555536</c:v>
                </c:pt>
                <c:pt idx="882">
                  <c:v>0.61249999999999805</c:v>
                </c:pt>
                <c:pt idx="883">
                  <c:v>0.61319444444444249</c:v>
                </c:pt>
                <c:pt idx="884">
                  <c:v>0.61388888888888693</c:v>
                </c:pt>
                <c:pt idx="885">
                  <c:v>0.61458333333333137</c:v>
                </c:pt>
                <c:pt idx="886">
                  <c:v>0.61527777777777581</c:v>
                </c:pt>
                <c:pt idx="887">
                  <c:v>0.61597222222222026</c:v>
                </c:pt>
                <c:pt idx="888">
                  <c:v>0.6166666666666647</c:v>
                </c:pt>
                <c:pt idx="889">
                  <c:v>0.61736111111110914</c:v>
                </c:pt>
                <c:pt idx="890">
                  <c:v>0.61805555555555358</c:v>
                </c:pt>
                <c:pt idx="891">
                  <c:v>0.61874999999999802</c:v>
                </c:pt>
                <c:pt idx="892">
                  <c:v>0.61944444444444247</c:v>
                </c:pt>
                <c:pt idx="893">
                  <c:v>0.62013888888888691</c:v>
                </c:pt>
                <c:pt idx="894">
                  <c:v>0.62083333333333135</c:v>
                </c:pt>
                <c:pt idx="895">
                  <c:v>0.62152777777777579</c:v>
                </c:pt>
                <c:pt idx="896">
                  <c:v>0.62222222222222023</c:v>
                </c:pt>
                <c:pt idx="897">
                  <c:v>0.62291666666666468</c:v>
                </c:pt>
                <c:pt idx="898">
                  <c:v>0.62361111111110912</c:v>
                </c:pt>
                <c:pt idx="899">
                  <c:v>0.62430555555555356</c:v>
                </c:pt>
                <c:pt idx="900">
                  <c:v>0.624999999999998</c:v>
                </c:pt>
                <c:pt idx="901">
                  <c:v>0.62569444444444244</c:v>
                </c:pt>
                <c:pt idx="902">
                  <c:v>0.62638888888888689</c:v>
                </c:pt>
                <c:pt idx="903">
                  <c:v>0.62708333333333133</c:v>
                </c:pt>
                <c:pt idx="904">
                  <c:v>0.62777777777777577</c:v>
                </c:pt>
                <c:pt idx="905">
                  <c:v>0.62847222222222021</c:v>
                </c:pt>
                <c:pt idx="906">
                  <c:v>0.62916666666666465</c:v>
                </c:pt>
                <c:pt idx="907">
                  <c:v>0.6298611111111091</c:v>
                </c:pt>
                <c:pt idx="908">
                  <c:v>0.63055555555555354</c:v>
                </c:pt>
                <c:pt idx="909">
                  <c:v>0.63124999999999798</c:v>
                </c:pt>
                <c:pt idx="910">
                  <c:v>0.63194444444444242</c:v>
                </c:pt>
                <c:pt idx="911">
                  <c:v>0.63263888888888686</c:v>
                </c:pt>
                <c:pt idx="912">
                  <c:v>0.63333333333333131</c:v>
                </c:pt>
                <c:pt idx="913">
                  <c:v>0.63402777777777575</c:v>
                </c:pt>
                <c:pt idx="914">
                  <c:v>0.63472222222222019</c:v>
                </c:pt>
                <c:pt idx="915">
                  <c:v>0.63541666666666463</c:v>
                </c:pt>
                <c:pt idx="916">
                  <c:v>0.63611111111110907</c:v>
                </c:pt>
                <c:pt idx="917">
                  <c:v>0.63680555555555352</c:v>
                </c:pt>
                <c:pt idx="918">
                  <c:v>0.63749999999999796</c:v>
                </c:pt>
                <c:pt idx="919">
                  <c:v>0.6381944444444424</c:v>
                </c:pt>
                <c:pt idx="920">
                  <c:v>0.63888888888888684</c:v>
                </c:pt>
                <c:pt idx="921">
                  <c:v>0.63958333333333128</c:v>
                </c:pt>
                <c:pt idx="922">
                  <c:v>0.64027777777777573</c:v>
                </c:pt>
                <c:pt idx="923">
                  <c:v>0.64097222222222017</c:v>
                </c:pt>
                <c:pt idx="924">
                  <c:v>0.64166666666666461</c:v>
                </c:pt>
                <c:pt idx="925">
                  <c:v>0.64236111111110905</c:v>
                </c:pt>
                <c:pt idx="926">
                  <c:v>0.64305555555555349</c:v>
                </c:pt>
                <c:pt idx="927">
                  <c:v>0.64374999999999793</c:v>
                </c:pt>
                <c:pt idx="928">
                  <c:v>0.64444444444444238</c:v>
                </c:pt>
                <c:pt idx="929">
                  <c:v>0.64513888888888682</c:v>
                </c:pt>
                <c:pt idx="930">
                  <c:v>0.64583333333333126</c:v>
                </c:pt>
                <c:pt idx="931">
                  <c:v>0.6465277777777757</c:v>
                </c:pt>
                <c:pt idx="932">
                  <c:v>0.64722222222222014</c:v>
                </c:pt>
                <c:pt idx="933">
                  <c:v>0.64791666666666459</c:v>
                </c:pt>
                <c:pt idx="934">
                  <c:v>0.64861111111110903</c:v>
                </c:pt>
                <c:pt idx="935">
                  <c:v>0.64930555555555347</c:v>
                </c:pt>
                <c:pt idx="936">
                  <c:v>0.64999999999999791</c:v>
                </c:pt>
                <c:pt idx="937">
                  <c:v>0.65069444444444235</c:v>
                </c:pt>
                <c:pt idx="938">
                  <c:v>0.6513888888888868</c:v>
                </c:pt>
                <c:pt idx="939">
                  <c:v>0.65208333333333124</c:v>
                </c:pt>
                <c:pt idx="940">
                  <c:v>0.65277777777777568</c:v>
                </c:pt>
                <c:pt idx="941">
                  <c:v>0.65347222222222012</c:v>
                </c:pt>
                <c:pt idx="942">
                  <c:v>0.65416666666666456</c:v>
                </c:pt>
                <c:pt idx="943">
                  <c:v>0.65486111111110901</c:v>
                </c:pt>
                <c:pt idx="944">
                  <c:v>0.65555555555555345</c:v>
                </c:pt>
                <c:pt idx="945">
                  <c:v>0.65624999999999789</c:v>
                </c:pt>
                <c:pt idx="946">
                  <c:v>0.65694444444444233</c:v>
                </c:pt>
                <c:pt idx="947">
                  <c:v>0.65763888888888677</c:v>
                </c:pt>
                <c:pt idx="948">
                  <c:v>0.65833333333333122</c:v>
                </c:pt>
                <c:pt idx="949">
                  <c:v>0.65902777777777566</c:v>
                </c:pt>
                <c:pt idx="950">
                  <c:v>0.6597222222222201</c:v>
                </c:pt>
                <c:pt idx="951">
                  <c:v>0.66041666666666454</c:v>
                </c:pt>
                <c:pt idx="952">
                  <c:v>0.66111111111110898</c:v>
                </c:pt>
                <c:pt idx="953">
                  <c:v>0.66180555555555343</c:v>
                </c:pt>
                <c:pt idx="954">
                  <c:v>0.66249999999999787</c:v>
                </c:pt>
                <c:pt idx="955">
                  <c:v>0.66319444444444231</c:v>
                </c:pt>
                <c:pt idx="956">
                  <c:v>0.66388888888888675</c:v>
                </c:pt>
                <c:pt idx="957">
                  <c:v>0.66458333333333119</c:v>
                </c:pt>
                <c:pt idx="958">
                  <c:v>0.66527777777777564</c:v>
                </c:pt>
                <c:pt idx="959">
                  <c:v>0.66597222222222008</c:v>
                </c:pt>
                <c:pt idx="960">
                  <c:v>0.66666666666666452</c:v>
                </c:pt>
                <c:pt idx="961">
                  <c:v>0.66736111111110896</c:v>
                </c:pt>
                <c:pt idx="962">
                  <c:v>0.6680555555555534</c:v>
                </c:pt>
                <c:pt idx="963">
                  <c:v>0.66874999999999785</c:v>
                </c:pt>
                <c:pt idx="964">
                  <c:v>0.66944444444444229</c:v>
                </c:pt>
                <c:pt idx="965">
                  <c:v>0.67013888888888673</c:v>
                </c:pt>
                <c:pt idx="966">
                  <c:v>0.67083333333333117</c:v>
                </c:pt>
                <c:pt idx="967">
                  <c:v>0.67152777777777561</c:v>
                </c:pt>
                <c:pt idx="968">
                  <c:v>0.67222222222222006</c:v>
                </c:pt>
                <c:pt idx="969">
                  <c:v>0.6729166666666645</c:v>
                </c:pt>
                <c:pt idx="970">
                  <c:v>0.67361111111110894</c:v>
                </c:pt>
                <c:pt idx="971">
                  <c:v>0.67430555555555338</c:v>
                </c:pt>
                <c:pt idx="972">
                  <c:v>0.67499999999999782</c:v>
                </c:pt>
                <c:pt idx="973">
                  <c:v>0.67569444444444227</c:v>
                </c:pt>
                <c:pt idx="974">
                  <c:v>0.67638888888888671</c:v>
                </c:pt>
                <c:pt idx="975">
                  <c:v>0.67708333333333115</c:v>
                </c:pt>
                <c:pt idx="976">
                  <c:v>0.67777777777777559</c:v>
                </c:pt>
                <c:pt idx="977">
                  <c:v>0.67847222222222003</c:v>
                </c:pt>
                <c:pt idx="978">
                  <c:v>0.67916666666666448</c:v>
                </c:pt>
                <c:pt idx="979">
                  <c:v>0.67986111111110892</c:v>
                </c:pt>
                <c:pt idx="980">
                  <c:v>0.68055555555555336</c:v>
                </c:pt>
                <c:pt idx="981">
                  <c:v>0.6812499999999978</c:v>
                </c:pt>
                <c:pt idx="982">
                  <c:v>0.68194444444444224</c:v>
                </c:pt>
                <c:pt idx="983">
                  <c:v>0.68263888888888669</c:v>
                </c:pt>
                <c:pt idx="984">
                  <c:v>0.68333333333333113</c:v>
                </c:pt>
                <c:pt idx="985">
                  <c:v>0.68402777777777557</c:v>
                </c:pt>
                <c:pt idx="986">
                  <c:v>0.68472222222222001</c:v>
                </c:pt>
                <c:pt idx="987">
                  <c:v>0.68541666666666445</c:v>
                </c:pt>
                <c:pt idx="988">
                  <c:v>0.6861111111111089</c:v>
                </c:pt>
                <c:pt idx="989">
                  <c:v>0.68680555555555334</c:v>
                </c:pt>
                <c:pt idx="990">
                  <c:v>0.68749999999999778</c:v>
                </c:pt>
                <c:pt idx="991">
                  <c:v>0.68819444444444222</c:v>
                </c:pt>
                <c:pt idx="992">
                  <c:v>0.68888888888888666</c:v>
                </c:pt>
                <c:pt idx="993">
                  <c:v>0.68958333333333111</c:v>
                </c:pt>
                <c:pt idx="994">
                  <c:v>0.69027777777777555</c:v>
                </c:pt>
                <c:pt idx="995">
                  <c:v>0.69097222222221999</c:v>
                </c:pt>
                <c:pt idx="996">
                  <c:v>0.69166666666666443</c:v>
                </c:pt>
                <c:pt idx="997">
                  <c:v>0.69236111111110887</c:v>
                </c:pt>
                <c:pt idx="998">
                  <c:v>0.69305555555555332</c:v>
                </c:pt>
                <c:pt idx="999">
                  <c:v>0.69374999999999776</c:v>
                </c:pt>
                <c:pt idx="1000">
                  <c:v>0.6944444444444422</c:v>
                </c:pt>
                <c:pt idx="1001">
                  <c:v>0.69513888888888664</c:v>
                </c:pt>
                <c:pt idx="1002">
                  <c:v>0.69583333333333108</c:v>
                </c:pt>
                <c:pt idx="1003">
                  <c:v>0.69652777777777553</c:v>
                </c:pt>
                <c:pt idx="1004">
                  <c:v>0.69722222222221997</c:v>
                </c:pt>
                <c:pt idx="1005">
                  <c:v>0.69791666666666441</c:v>
                </c:pt>
                <c:pt idx="1006">
                  <c:v>0.69861111111110885</c:v>
                </c:pt>
                <c:pt idx="1007">
                  <c:v>0.69930555555555329</c:v>
                </c:pt>
                <c:pt idx="1008">
                  <c:v>0.69999999999999774</c:v>
                </c:pt>
                <c:pt idx="1009">
                  <c:v>0.70069444444444218</c:v>
                </c:pt>
                <c:pt idx="1010">
                  <c:v>0.70138888888888662</c:v>
                </c:pt>
                <c:pt idx="1011">
                  <c:v>0.70208333333333106</c:v>
                </c:pt>
                <c:pt idx="1012">
                  <c:v>0.7027777777777755</c:v>
                </c:pt>
                <c:pt idx="1013">
                  <c:v>0.70347222222221995</c:v>
                </c:pt>
                <c:pt idx="1014">
                  <c:v>0.70416666666666439</c:v>
                </c:pt>
                <c:pt idx="1015">
                  <c:v>0.70486111111110883</c:v>
                </c:pt>
                <c:pt idx="1016">
                  <c:v>0.70555555555555327</c:v>
                </c:pt>
                <c:pt idx="1017">
                  <c:v>0.70624999999999771</c:v>
                </c:pt>
                <c:pt idx="1018">
                  <c:v>0.70694444444444215</c:v>
                </c:pt>
                <c:pt idx="1019">
                  <c:v>0.7076388888888866</c:v>
                </c:pt>
                <c:pt idx="1020">
                  <c:v>0.70833333333333104</c:v>
                </c:pt>
                <c:pt idx="1021">
                  <c:v>0.70902777777777548</c:v>
                </c:pt>
                <c:pt idx="1022">
                  <c:v>0.70972222222221992</c:v>
                </c:pt>
                <c:pt idx="1023">
                  <c:v>0.71041666666666436</c:v>
                </c:pt>
                <c:pt idx="1024">
                  <c:v>0.71111111111110881</c:v>
                </c:pt>
                <c:pt idx="1025">
                  <c:v>0.71180555555555325</c:v>
                </c:pt>
                <c:pt idx="1026">
                  <c:v>0.71249999999999769</c:v>
                </c:pt>
                <c:pt idx="1027">
                  <c:v>0.71319444444444213</c:v>
                </c:pt>
                <c:pt idx="1028">
                  <c:v>0.71388888888888657</c:v>
                </c:pt>
                <c:pt idx="1029">
                  <c:v>0.71458333333333102</c:v>
                </c:pt>
                <c:pt idx="1030">
                  <c:v>0.71527777777777546</c:v>
                </c:pt>
                <c:pt idx="1031">
                  <c:v>0.7159722222222199</c:v>
                </c:pt>
                <c:pt idx="1032">
                  <c:v>0.71666666666666434</c:v>
                </c:pt>
                <c:pt idx="1033">
                  <c:v>0.71736111111110878</c:v>
                </c:pt>
                <c:pt idx="1034">
                  <c:v>0.71805555555555323</c:v>
                </c:pt>
                <c:pt idx="1035">
                  <c:v>0.71874999999999767</c:v>
                </c:pt>
                <c:pt idx="1036">
                  <c:v>0.71944444444444211</c:v>
                </c:pt>
                <c:pt idx="1037">
                  <c:v>0.72013888888888655</c:v>
                </c:pt>
                <c:pt idx="1038">
                  <c:v>0.72083333333333099</c:v>
                </c:pt>
                <c:pt idx="1039">
                  <c:v>0.72152777777777544</c:v>
                </c:pt>
                <c:pt idx="1040">
                  <c:v>0.72222222222221988</c:v>
                </c:pt>
                <c:pt idx="1041">
                  <c:v>0.72291666666666432</c:v>
                </c:pt>
                <c:pt idx="1042">
                  <c:v>0.72361111111110876</c:v>
                </c:pt>
                <c:pt idx="1043">
                  <c:v>0.7243055555555532</c:v>
                </c:pt>
                <c:pt idx="1044">
                  <c:v>0.72499999999999765</c:v>
                </c:pt>
                <c:pt idx="1045">
                  <c:v>0.72569444444444209</c:v>
                </c:pt>
                <c:pt idx="1046">
                  <c:v>0.72638888888888653</c:v>
                </c:pt>
                <c:pt idx="1047">
                  <c:v>0.72708333333333097</c:v>
                </c:pt>
                <c:pt idx="1048">
                  <c:v>0.72777777777777541</c:v>
                </c:pt>
                <c:pt idx="1049">
                  <c:v>0.72847222222221986</c:v>
                </c:pt>
                <c:pt idx="1050">
                  <c:v>0.7291666666666643</c:v>
                </c:pt>
                <c:pt idx="1051">
                  <c:v>0.72986111111110874</c:v>
                </c:pt>
                <c:pt idx="1052">
                  <c:v>0.73055555555555318</c:v>
                </c:pt>
                <c:pt idx="1053">
                  <c:v>0.73124999999999762</c:v>
                </c:pt>
                <c:pt idx="1054">
                  <c:v>0.73194444444444207</c:v>
                </c:pt>
                <c:pt idx="1055">
                  <c:v>0.73263888888888651</c:v>
                </c:pt>
                <c:pt idx="1056">
                  <c:v>0.73333333333333095</c:v>
                </c:pt>
                <c:pt idx="1057">
                  <c:v>0.73402777777777539</c:v>
                </c:pt>
                <c:pt idx="1058">
                  <c:v>0.73472222222221983</c:v>
                </c:pt>
                <c:pt idx="1059">
                  <c:v>0.73541666666666428</c:v>
                </c:pt>
                <c:pt idx="1060">
                  <c:v>0.73611111111110872</c:v>
                </c:pt>
                <c:pt idx="1061">
                  <c:v>0.73680555555555316</c:v>
                </c:pt>
                <c:pt idx="1062">
                  <c:v>0.7374999999999976</c:v>
                </c:pt>
                <c:pt idx="1063">
                  <c:v>0.73819444444444204</c:v>
                </c:pt>
                <c:pt idx="1064">
                  <c:v>0.73888888888888649</c:v>
                </c:pt>
                <c:pt idx="1065">
                  <c:v>0.73958333333333093</c:v>
                </c:pt>
                <c:pt idx="1066">
                  <c:v>0.74027777777777537</c:v>
                </c:pt>
                <c:pt idx="1067">
                  <c:v>0.74097222222221981</c:v>
                </c:pt>
                <c:pt idx="1068">
                  <c:v>0.74166666666666425</c:v>
                </c:pt>
                <c:pt idx="1069">
                  <c:v>0.7423611111111087</c:v>
                </c:pt>
                <c:pt idx="1070">
                  <c:v>0.74305555555555314</c:v>
                </c:pt>
                <c:pt idx="1071">
                  <c:v>0.74374999999999758</c:v>
                </c:pt>
                <c:pt idx="1072">
                  <c:v>0.74444444444444202</c:v>
                </c:pt>
                <c:pt idx="1073">
                  <c:v>0.74513888888888646</c:v>
                </c:pt>
                <c:pt idx="1074">
                  <c:v>0.74583333333333091</c:v>
                </c:pt>
                <c:pt idx="1075">
                  <c:v>0.74652777777777535</c:v>
                </c:pt>
                <c:pt idx="1076">
                  <c:v>0.74722222222221979</c:v>
                </c:pt>
                <c:pt idx="1077">
                  <c:v>0.74791666666666423</c:v>
                </c:pt>
                <c:pt idx="1078">
                  <c:v>0.74861111111110867</c:v>
                </c:pt>
                <c:pt idx="1079">
                  <c:v>0.74930555555555312</c:v>
                </c:pt>
                <c:pt idx="1080">
                  <c:v>0.74999999999999756</c:v>
                </c:pt>
                <c:pt idx="1081">
                  <c:v>0.750694444444442</c:v>
                </c:pt>
                <c:pt idx="1082">
                  <c:v>0.75138888888888644</c:v>
                </c:pt>
                <c:pt idx="1083">
                  <c:v>0.75208333333333088</c:v>
                </c:pt>
                <c:pt idx="1084">
                  <c:v>0.75277777777777533</c:v>
                </c:pt>
                <c:pt idx="1085">
                  <c:v>0.75347222222221977</c:v>
                </c:pt>
                <c:pt idx="1086">
                  <c:v>0.75416666666666421</c:v>
                </c:pt>
                <c:pt idx="1087">
                  <c:v>0.75486111111110865</c:v>
                </c:pt>
                <c:pt idx="1088">
                  <c:v>0.75555555555555309</c:v>
                </c:pt>
                <c:pt idx="1089">
                  <c:v>0.75624999999999754</c:v>
                </c:pt>
                <c:pt idx="1090">
                  <c:v>0.75694444444444198</c:v>
                </c:pt>
                <c:pt idx="1091">
                  <c:v>0.75763888888888642</c:v>
                </c:pt>
                <c:pt idx="1092">
                  <c:v>0.75833333333333086</c:v>
                </c:pt>
                <c:pt idx="1093">
                  <c:v>0.7590277777777753</c:v>
                </c:pt>
                <c:pt idx="1094">
                  <c:v>0.75972222222221975</c:v>
                </c:pt>
                <c:pt idx="1095">
                  <c:v>0.76041666666666419</c:v>
                </c:pt>
                <c:pt idx="1096">
                  <c:v>0.76111111111110863</c:v>
                </c:pt>
                <c:pt idx="1097">
                  <c:v>0.76180555555555307</c:v>
                </c:pt>
                <c:pt idx="1098">
                  <c:v>0.76249999999999751</c:v>
                </c:pt>
                <c:pt idx="1099">
                  <c:v>0.76319444444444196</c:v>
                </c:pt>
                <c:pt idx="1100">
                  <c:v>0.7638888888888864</c:v>
                </c:pt>
                <c:pt idx="1101">
                  <c:v>0.76458333333333084</c:v>
                </c:pt>
                <c:pt idx="1102">
                  <c:v>0.76527777777777528</c:v>
                </c:pt>
                <c:pt idx="1103">
                  <c:v>0.76597222222221972</c:v>
                </c:pt>
                <c:pt idx="1104">
                  <c:v>0.76666666666666416</c:v>
                </c:pt>
                <c:pt idx="1105">
                  <c:v>0.76736111111110861</c:v>
                </c:pt>
                <c:pt idx="1106">
                  <c:v>0.76805555555555305</c:v>
                </c:pt>
                <c:pt idx="1107">
                  <c:v>0.76874999999999749</c:v>
                </c:pt>
                <c:pt idx="1108">
                  <c:v>0.76944444444444193</c:v>
                </c:pt>
                <c:pt idx="1109">
                  <c:v>0.77013888888888637</c:v>
                </c:pt>
                <c:pt idx="1110">
                  <c:v>0.77083333333333082</c:v>
                </c:pt>
                <c:pt idx="1111">
                  <c:v>0.77152777777777526</c:v>
                </c:pt>
                <c:pt idx="1112">
                  <c:v>0.7722222222222197</c:v>
                </c:pt>
                <c:pt idx="1113">
                  <c:v>0.77291666666666414</c:v>
                </c:pt>
                <c:pt idx="1114">
                  <c:v>0.77361111111110858</c:v>
                </c:pt>
                <c:pt idx="1115">
                  <c:v>0.77430555555555303</c:v>
                </c:pt>
                <c:pt idx="1116">
                  <c:v>0.77499999999999747</c:v>
                </c:pt>
                <c:pt idx="1117">
                  <c:v>0.77569444444444191</c:v>
                </c:pt>
                <c:pt idx="1118">
                  <c:v>0.77638888888888635</c:v>
                </c:pt>
                <c:pt idx="1119">
                  <c:v>0.77708333333333079</c:v>
                </c:pt>
                <c:pt idx="1120">
                  <c:v>0.77777777777777524</c:v>
                </c:pt>
                <c:pt idx="1121">
                  <c:v>0.77847222222221968</c:v>
                </c:pt>
                <c:pt idx="1122">
                  <c:v>0.77916666666666412</c:v>
                </c:pt>
                <c:pt idx="1123">
                  <c:v>0.77986111111110856</c:v>
                </c:pt>
                <c:pt idx="1124">
                  <c:v>0.780555555555553</c:v>
                </c:pt>
                <c:pt idx="1125">
                  <c:v>0.78124999999999745</c:v>
                </c:pt>
                <c:pt idx="1126">
                  <c:v>0.78194444444444189</c:v>
                </c:pt>
                <c:pt idx="1127">
                  <c:v>0.78263888888888633</c:v>
                </c:pt>
                <c:pt idx="1128">
                  <c:v>0.78333333333333077</c:v>
                </c:pt>
                <c:pt idx="1129">
                  <c:v>0.78402777777777521</c:v>
                </c:pt>
                <c:pt idx="1130">
                  <c:v>0.78472222222221966</c:v>
                </c:pt>
                <c:pt idx="1131">
                  <c:v>0.7854166666666641</c:v>
                </c:pt>
                <c:pt idx="1132">
                  <c:v>0.78611111111110854</c:v>
                </c:pt>
                <c:pt idx="1133">
                  <c:v>0.78680555555555298</c:v>
                </c:pt>
                <c:pt idx="1134">
                  <c:v>0.78749999999999742</c:v>
                </c:pt>
                <c:pt idx="1135">
                  <c:v>0.78819444444444187</c:v>
                </c:pt>
                <c:pt idx="1136">
                  <c:v>0.78888888888888631</c:v>
                </c:pt>
                <c:pt idx="1137">
                  <c:v>0.78958333333333075</c:v>
                </c:pt>
                <c:pt idx="1138">
                  <c:v>0.79027777777777519</c:v>
                </c:pt>
                <c:pt idx="1139">
                  <c:v>0.79097222222221963</c:v>
                </c:pt>
                <c:pt idx="1140">
                  <c:v>0.79166666666666408</c:v>
                </c:pt>
                <c:pt idx="1141">
                  <c:v>0.79236111111110852</c:v>
                </c:pt>
                <c:pt idx="1142">
                  <c:v>0.79305555555555296</c:v>
                </c:pt>
                <c:pt idx="1143">
                  <c:v>0.7937499999999974</c:v>
                </c:pt>
                <c:pt idx="1144">
                  <c:v>0.79444444444444184</c:v>
                </c:pt>
                <c:pt idx="1145">
                  <c:v>0.79513888888888629</c:v>
                </c:pt>
                <c:pt idx="1146">
                  <c:v>0.79583333333333073</c:v>
                </c:pt>
                <c:pt idx="1147">
                  <c:v>0.79652777777777517</c:v>
                </c:pt>
                <c:pt idx="1148">
                  <c:v>0.79722222222221961</c:v>
                </c:pt>
                <c:pt idx="1149">
                  <c:v>0.79791666666666405</c:v>
                </c:pt>
                <c:pt idx="1150">
                  <c:v>0.7986111111111085</c:v>
                </c:pt>
                <c:pt idx="1151">
                  <c:v>0.79930555555555294</c:v>
                </c:pt>
                <c:pt idx="1152">
                  <c:v>0.79999999999999738</c:v>
                </c:pt>
                <c:pt idx="1153">
                  <c:v>0.80069444444444182</c:v>
                </c:pt>
                <c:pt idx="1154">
                  <c:v>0.80138888888888626</c:v>
                </c:pt>
                <c:pt idx="1155">
                  <c:v>0.80208333333333071</c:v>
                </c:pt>
                <c:pt idx="1156">
                  <c:v>0.80277777777777515</c:v>
                </c:pt>
                <c:pt idx="1157">
                  <c:v>0.80347222222221959</c:v>
                </c:pt>
                <c:pt idx="1158">
                  <c:v>0.80416666666666403</c:v>
                </c:pt>
                <c:pt idx="1159">
                  <c:v>0.80486111111110847</c:v>
                </c:pt>
                <c:pt idx="1160">
                  <c:v>0.80555555555555292</c:v>
                </c:pt>
                <c:pt idx="1161">
                  <c:v>0.80624999999999736</c:v>
                </c:pt>
                <c:pt idx="1162">
                  <c:v>0.8069444444444418</c:v>
                </c:pt>
                <c:pt idx="1163">
                  <c:v>0.80763888888888624</c:v>
                </c:pt>
                <c:pt idx="1164">
                  <c:v>0.80833333333333068</c:v>
                </c:pt>
                <c:pt idx="1165">
                  <c:v>0.80902777777777513</c:v>
                </c:pt>
                <c:pt idx="1166">
                  <c:v>0.80972222222221957</c:v>
                </c:pt>
                <c:pt idx="1167">
                  <c:v>0.81041666666666401</c:v>
                </c:pt>
                <c:pt idx="1168">
                  <c:v>0.81111111111110845</c:v>
                </c:pt>
                <c:pt idx="1169">
                  <c:v>0.81180555555555289</c:v>
                </c:pt>
                <c:pt idx="1170">
                  <c:v>0.81249999999999734</c:v>
                </c:pt>
                <c:pt idx="1171">
                  <c:v>0.81319444444444178</c:v>
                </c:pt>
                <c:pt idx="1172">
                  <c:v>0.81388888888888622</c:v>
                </c:pt>
                <c:pt idx="1173">
                  <c:v>0.81458333333333066</c:v>
                </c:pt>
                <c:pt idx="1174">
                  <c:v>0.8152777777777751</c:v>
                </c:pt>
                <c:pt idx="1175">
                  <c:v>0.81597222222221955</c:v>
                </c:pt>
                <c:pt idx="1176">
                  <c:v>0.81666666666666399</c:v>
                </c:pt>
                <c:pt idx="1177">
                  <c:v>0.81736111111110843</c:v>
                </c:pt>
                <c:pt idx="1178">
                  <c:v>0.81805555555555287</c:v>
                </c:pt>
                <c:pt idx="1179">
                  <c:v>0.81874999999999731</c:v>
                </c:pt>
                <c:pt idx="1180">
                  <c:v>0.81944444444444176</c:v>
                </c:pt>
                <c:pt idx="1181">
                  <c:v>0.8201388888888862</c:v>
                </c:pt>
                <c:pt idx="1182">
                  <c:v>0.82083333333333064</c:v>
                </c:pt>
                <c:pt idx="1183">
                  <c:v>0.82152777777777508</c:v>
                </c:pt>
                <c:pt idx="1184">
                  <c:v>0.82222222222221952</c:v>
                </c:pt>
                <c:pt idx="1185">
                  <c:v>0.82291666666666397</c:v>
                </c:pt>
                <c:pt idx="1186">
                  <c:v>0.82361111111110841</c:v>
                </c:pt>
                <c:pt idx="1187">
                  <c:v>0.82430555555555285</c:v>
                </c:pt>
                <c:pt idx="1188">
                  <c:v>0.82499999999999729</c:v>
                </c:pt>
                <c:pt idx="1189">
                  <c:v>0.82569444444444173</c:v>
                </c:pt>
                <c:pt idx="1190">
                  <c:v>0.82638888888888618</c:v>
                </c:pt>
                <c:pt idx="1191">
                  <c:v>0.82708333333333062</c:v>
                </c:pt>
                <c:pt idx="1192">
                  <c:v>0.82777777777777506</c:v>
                </c:pt>
                <c:pt idx="1193">
                  <c:v>0.8284722222222195</c:v>
                </c:pt>
                <c:pt idx="1194">
                  <c:v>0.82916666666666394</c:v>
                </c:pt>
                <c:pt idx="1195">
                  <c:v>0.82986111111110838</c:v>
                </c:pt>
                <c:pt idx="1196">
                  <c:v>0.83055555555555283</c:v>
                </c:pt>
                <c:pt idx="1197">
                  <c:v>0.83124999999999727</c:v>
                </c:pt>
                <c:pt idx="1198">
                  <c:v>0.83194444444444171</c:v>
                </c:pt>
                <c:pt idx="1199">
                  <c:v>0.83263888888888615</c:v>
                </c:pt>
                <c:pt idx="1200">
                  <c:v>0.83333333333333059</c:v>
                </c:pt>
                <c:pt idx="1201">
                  <c:v>0.83402777777777504</c:v>
                </c:pt>
                <c:pt idx="1202">
                  <c:v>0.83472222222221948</c:v>
                </c:pt>
                <c:pt idx="1203">
                  <c:v>0.83541666666666392</c:v>
                </c:pt>
                <c:pt idx="1204">
                  <c:v>0.83611111111110836</c:v>
                </c:pt>
                <c:pt idx="1205">
                  <c:v>0.8368055555555528</c:v>
                </c:pt>
                <c:pt idx="1206">
                  <c:v>0.83749999999999725</c:v>
                </c:pt>
                <c:pt idx="1207">
                  <c:v>0.83819444444444169</c:v>
                </c:pt>
                <c:pt idx="1208">
                  <c:v>0.83888888888888613</c:v>
                </c:pt>
                <c:pt idx="1209">
                  <c:v>0.83958333333333057</c:v>
                </c:pt>
                <c:pt idx="1210">
                  <c:v>0.84027777777777501</c:v>
                </c:pt>
                <c:pt idx="1211">
                  <c:v>0.84097222222221946</c:v>
                </c:pt>
                <c:pt idx="1212">
                  <c:v>0.8416666666666639</c:v>
                </c:pt>
                <c:pt idx="1213">
                  <c:v>0.84236111111110834</c:v>
                </c:pt>
                <c:pt idx="1214">
                  <c:v>0.84305555555555278</c:v>
                </c:pt>
                <c:pt idx="1215">
                  <c:v>0.84374999999999722</c:v>
                </c:pt>
                <c:pt idx="1216">
                  <c:v>0.84444444444444167</c:v>
                </c:pt>
                <c:pt idx="1217">
                  <c:v>0.84513888888888611</c:v>
                </c:pt>
                <c:pt idx="1218">
                  <c:v>0.84583333333333055</c:v>
                </c:pt>
                <c:pt idx="1219">
                  <c:v>0.84652777777777499</c:v>
                </c:pt>
                <c:pt idx="1220">
                  <c:v>0.84722222222221943</c:v>
                </c:pt>
                <c:pt idx="1221">
                  <c:v>0.84791666666666388</c:v>
                </c:pt>
                <c:pt idx="1222">
                  <c:v>0.84861111111110832</c:v>
                </c:pt>
                <c:pt idx="1223">
                  <c:v>0.84930555555555276</c:v>
                </c:pt>
                <c:pt idx="1224">
                  <c:v>0.8499999999999972</c:v>
                </c:pt>
                <c:pt idx="1225">
                  <c:v>0.85069444444444164</c:v>
                </c:pt>
                <c:pt idx="1226">
                  <c:v>0.85138888888888609</c:v>
                </c:pt>
                <c:pt idx="1227">
                  <c:v>0.85208333333333053</c:v>
                </c:pt>
                <c:pt idx="1228">
                  <c:v>0.85277777777777497</c:v>
                </c:pt>
                <c:pt idx="1229">
                  <c:v>0.85347222222221941</c:v>
                </c:pt>
                <c:pt idx="1230">
                  <c:v>0.85416666666666385</c:v>
                </c:pt>
                <c:pt idx="1231">
                  <c:v>0.8548611111111083</c:v>
                </c:pt>
                <c:pt idx="1232">
                  <c:v>0.85555555555555274</c:v>
                </c:pt>
                <c:pt idx="1233">
                  <c:v>0.85624999999999718</c:v>
                </c:pt>
                <c:pt idx="1234">
                  <c:v>0.85694444444444162</c:v>
                </c:pt>
                <c:pt idx="1235">
                  <c:v>0.85763888888888606</c:v>
                </c:pt>
                <c:pt idx="1236">
                  <c:v>0.85833333333333051</c:v>
                </c:pt>
                <c:pt idx="1237">
                  <c:v>0.85902777777777495</c:v>
                </c:pt>
                <c:pt idx="1238">
                  <c:v>0.85972222222221939</c:v>
                </c:pt>
                <c:pt idx="1239">
                  <c:v>0.86041666666666383</c:v>
                </c:pt>
                <c:pt idx="1240">
                  <c:v>0.86111111111110827</c:v>
                </c:pt>
                <c:pt idx="1241">
                  <c:v>0.86180555555555272</c:v>
                </c:pt>
                <c:pt idx="1242">
                  <c:v>0.86249999999999716</c:v>
                </c:pt>
                <c:pt idx="1243">
                  <c:v>0.8631944444444416</c:v>
                </c:pt>
                <c:pt idx="1244">
                  <c:v>0.86388888888888604</c:v>
                </c:pt>
                <c:pt idx="1245">
                  <c:v>0.86458333333333048</c:v>
                </c:pt>
                <c:pt idx="1246">
                  <c:v>0.86527777777777493</c:v>
                </c:pt>
                <c:pt idx="1247">
                  <c:v>0.86597222222221937</c:v>
                </c:pt>
                <c:pt idx="1248">
                  <c:v>0.86666666666666381</c:v>
                </c:pt>
                <c:pt idx="1249">
                  <c:v>0.86736111111110825</c:v>
                </c:pt>
                <c:pt idx="1250">
                  <c:v>0.86805555555555269</c:v>
                </c:pt>
                <c:pt idx="1251">
                  <c:v>0.86874999999999714</c:v>
                </c:pt>
                <c:pt idx="1252">
                  <c:v>0.86944444444444158</c:v>
                </c:pt>
                <c:pt idx="1253">
                  <c:v>0.87013888888888602</c:v>
                </c:pt>
                <c:pt idx="1254">
                  <c:v>0.87083333333333046</c:v>
                </c:pt>
                <c:pt idx="1255">
                  <c:v>0.8715277777777749</c:v>
                </c:pt>
                <c:pt idx="1256">
                  <c:v>0.87222222222221935</c:v>
                </c:pt>
                <c:pt idx="1257">
                  <c:v>0.87291666666666379</c:v>
                </c:pt>
                <c:pt idx="1258">
                  <c:v>0.87361111111110823</c:v>
                </c:pt>
                <c:pt idx="1259">
                  <c:v>0.87430555555555267</c:v>
                </c:pt>
                <c:pt idx="1260">
                  <c:v>0.87499999999999711</c:v>
                </c:pt>
                <c:pt idx="1261">
                  <c:v>0.87569444444444156</c:v>
                </c:pt>
                <c:pt idx="1262">
                  <c:v>0.876388888888886</c:v>
                </c:pt>
                <c:pt idx="1263">
                  <c:v>0.87708333333333044</c:v>
                </c:pt>
                <c:pt idx="1264">
                  <c:v>0.87777777777777488</c:v>
                </c:pt>
                <c:pt idx="1265">
                  <c:v>0.87847222222221932</c:v>
                </c:pt>
                <c:pt idx="1266">
                  <c:v>0.87916666666666377</c:v>
                </c:pt>
                <c:pt idx="1267">
                  <c:v>0.87986111111110821</c:v>
                </c:pt>
                <c:pt idx="1268">
                  <c:v>0.88055555555555265</c:v>
                </c:pt>
                <c:pt idx="1269">
                  <c:v>0.88124999999999709</c:v>
                </c:pt>
                <c:pt idx="1270">
                  <c:v>0.88194444444444153</c:v>
                </c:pt>
                <c:pt idx="1271">
                  <c:v>0.88263888888888598</c:v>
                </c:pt>
                <c:pt idx="1272">
                  <c:v>0.88333333333333042</c:v>
                </c:pt>
                <c:pt idx="1273">
                  <c:v>0.88402777777777486</c:v>
                </c:pt>
                <c:pt idx="1274">
                  <c:v>0.8847222222222193</c:v>
                </c:pt>
                <c:pt idx="1275">
                  <c:v>0.88541666666666374</c:v>
                </c:pt>
                <c:pt idx="1276">
                  <c:v>0.88611111111110819</c:v>
                </c:pt>
                <c:pt idx="1277">
                  <c:v>0.88680555555555263</c:v>
                </c:pt>
                <c:pt idx="1278">
                  <c:v>0.88749999999999707</c:v>
                </c:pt>
                <c:pt idx="1279">
                  <c:v>0.88819444444444151</c:v>
                </c:pt>
                <c:pt idx="1280">
                  <c:v>0.88888888888888595</c:v>
                </c:pt>
                <c:pt idx="1281">
                  <c:v>0.88958333333333039</c:v>
                </c:pt>
                <c:pt idx="1282">
                  <c:v>0.89027777777777484</c:v>
                </c:pt>
                <c:pt idx="1283">
                  <c:v>0.89097222222221928</c:v>
                </c:pt>
                <c:pt idx="1284">
                  <c:v>0.89166666666666372</c:v>
                </c:pt>
                <c:pt idx="1285">
                  <c:v>0.89236111111110816</c:v>
                </c:pt>
                <c:pt idx="1286">
                  <c:v>0.8930555555555526</c:v>
                </c:pt>
                <c:pt idx="1287">
                  <c:v>0.89374999999999705</c:v>
                </c:pt>
                <c:pt idx="1288">
                  <c:v>0.89444444444444149</c:v>
                </c:pt>
                <c:pt idx="1289">
                  <c:v>0.89513888888888593</c:v>
                </c:pt>
                <c:pt idx="1290">
                  <c:v>0.89583333333333037</c:v>
                </c:pt>
                <c:pt idx="1291">
                  <c:v>0.89652777777777481</c:v>
                </c:pt>
                <c:pt idx="1292">
                  <c:v>0.89722222222221926</c:v>
                </c:pt>
                <c:pt idx="1293">
                  <c:v>0.8979166666666637</c:v>
                </c:pt>
                <c:pt idx="1294">
                  <c:v>0.89861111111110814</c:v>
                </c:pt>
                <c:pt idx="1295">
                  <c:v>0.89930555555555258</c:v>
                </c:pt>
                <c:pt idx="1296">
                  <c:v>0.89999999999999702</c:v>
                </c:pt>
                <c:pt idx="1297">
                  <c:v>0.90069444444444147</c:v>
                </c:pt>
                <c:pt idx="1298">
                  <c:v>0.90138888888888591</c:v>
                </c:pt>
                <c:pt idx="1299">
                  <c:v>0.90208333333333035</c:v>
                </c:pt>
                <c:pt idx="1300">
                  <c:v>0.90277777777777479</c:v>
                </c:pt>
                <c:pt idx="1301">
                  <c:v>0.90347222222221923</c:v>
                </c:pt>
                <c:pt idx="1302">
                  <c:v>0.90416666666666368</c:v>
                </c:pt>
                <c:pt idx="1303">
                  <c:v>0.90486111111110812</c:v>
                </c:pt>
                <c:pt idx="1304">
                  <c:v>0.90555555555555256</c:v>
                </c:pt>
                <c:pt idx="1305">
                  <c:v>0.906249999999997</c:v>
                </c:pt>
                <c:pt idx="1306">
                  <c:v>0.90694444444444144</c:v>
                </c:pt>
                <c:pt idx="1307">
                  <c:v>0.90763888888888589</c:v>
                </c:pt>
                <c:pt idx="1308">
                  <c:v>0.90833333333333033</c:v>
                </c:pt>
                <c:pt idx="1309">
                  <c:v>0.90902777777777477</c:v>
                </c:pt>
                <c:pt idx="1310">
                  <c:v>0.90972222222221921</c:v>
                </c:pt>
                <c:pt idx="1311">
                  <c:v>0.91041666666666365</c:v>
                </c:pt>
                <c:pt idx="1312">
                  <c:v>0.9111111111111081</c:v>
                </c:pt>
                <c:pt idx="1313">
                  <c:v>0.91180555555555254</c:v>
                </c:pt>
                <c:pt idx="1314">
                  <c:v>0.91249999999999698</c:v>
                </c:pt>
                <c:pt idx="1315">
                  <c:v>0.91319444444444142</c:v>
                </c:pt>
                <c:pt idx="1316">
                  <c:v>0.91388888888888586</c:v>
                </c:pt>
                <c:pt idx="1317">
                  <c:v>0.91458333333333031</c:v>
                </c:pt>
                <c:pt idx="1318">
                  <c:v>0.91527777777777475</c:v>
                </c:pt>
                <c:pt idx="1319">
                  <c:v>0.91597222222221919</c:v>
                </c:pt>
                <c:pt idx="1320">
                  <c:v>0.91666666666666363</c:v>
                </c:pt>
                <c:pt idx="1321">
                  <c:v>0.91736111111110807</c:v>
                </c:pt>
                <c:pt idx="1322">
                  <c:v>0.91805555555555252</c:v>
                </c:pt>
                <c:pt idx="1323">
                  <c:v>0.91874999999999696</c:v>
                </c:pt>
                <c:pt idx="1324">
                  <c:v>0.9194444444444414</c:v>
                </c:pt>
                <c:pt idx="1325">
                  <c:v>0.92013888888888584</c:v>
                </c:pt>
                <c:pt idx="1326">
                  <c:v>0.92083333333333028</c:v>
                </c:pt>
                <c:pt idx="1327">
                  <c:v>0.92152777777777473</c:v>
                </c:pt>
                <c:pt idx="1328">
                  <c:v>0.92222222222221917</c:v>
                </c:pt>
                <c:pt idx="1329">
                  <c:v>0.92291666666666361</c:v>
                </c:pt>
                <c:pt idx="1330">
                  <c:v>0.92361111111110805</c:v>
                </c:pt>
                <c:pt idx="1331">
                  <c:v>0.92430555555555249</c:v>
                </c:pt>
                <c:pt idx="1332">
                  <c:v>0.92499999999999694</c:v>
                </c:pt>
                <c:pt idx="1333">
                  <c:v>0.92569444444444138</c:v>
                </c:pt>
                <c:pt idx="1334">
                  <c:v>0.92638888888888582</c:v>
                </c:pt>
                <c:pt idx="1335">
                  <c:v>0.92708333333333026</c:v>
                </c:pt>
                <c:pt idx="1336">
                  <c:v>0.9277777777777747</c:v>
                </c:pt>
                <c:pt idx="1337">
                  <c:v>0.92847222222221915</c:v>
                </c:pt>
                <c:pt idx="1338">
                  <c:v>0.92916666666666359</c:v>
                </c:pt>
                <c:pt idx="1339">
                  <c:v>0.92986111111110803</c:v>
                </c:pt>
                <c:pt idx="1340">
                  <c:v>0.93055555555555247</c:v>
                </c:pt>
                <c:pt idx="1341">
                  <c:v>0.93124999999999691</c:v>
                </c:pt>
                <c:pt idx="1342">
                  <c:v>0.93194444444444136</c:v>
                </c:pt>
                <c:pt idx="1343">
                  <c:v>0.9326388888888858</c:v>
                </c:pt>
                <c:pt idx="1344">
                  <c:v>0.93333333333333024</c:v>
                </c:pt>
                <c:pt idx="1345">
                  <c:v>0.93402777777777468</c:v>
                </c:pt>
                <c:pt idx="1346">
                  <c:v>0.93472222222221912</c:v>
                </c:pt>
                <c:pt idx="1347">
                  <c:v>0.93541666666666357</c:v>
                </c:pt>
                <c:pt idx="1348">
                  <c:v>0.93611111111110801</c:v>
                </c:pt>
                <c:pt idx="1349">
                  <c:v>0.93680555555555245</c:v>
                </c:pt>
                <c:pt idx="1350">
                  <c:v>0.93749999999999689</c:v>
                </c:pt>
                <c:pt idx="1351">
                  <c:v>0.93819444444444133</c:v>
                </c:pt>
                <c:pt idx="1352">
                  <c:v>0.93888888888888578</c:v>
                </c:pt>
                <c:pt idx="1353">
                  <c:v>0.93958333333333022</c:v>
                </c:pt>
                <c:pt idx="1354">
                  <c:v>0.94027777777777466</c:v>
                </c:pt>
                <c:pt idx="1355">
                  <c:v>0.9409722222222191</c:v>
                </c:pt>
                <c:pt idx="1356">
                  <c:v>0.94166666666666354</c:v>
                </c:pt>
                <c:pt idx="1357">
                  <c:v>0.94236111111110799</c:v>
                </c:pt>
                <c:pt idx="1358">
                  <c:v>0.94305555555555243</c:v>
                </c:pt>
                <c:pt idx="1359">
                  <c:v>0.94374999999999687</c:v>
                </c:pt>
                <c:pt idx="1360">
                  <c:v>0.94444444444444131</c:v>
                </c:pt>
                <c:pt idx="1361">
                  <c:v>0.94513888888888575</c:v>
                </c:pt>
                <c:pt idx="1362">
                  <c:v>0.9458333333333302</c:v>
                </c:pt>
                <c:pt idx="1363">
                  <c:v>0.94652777777777464</c:v>
                </c:pt>
                <c:pt idx="1364">
                  <c:v>0.94722222222221908</c:v>
                </c:pt>
                <c:pt idx="1365">
                  <c:v>0.94791666666666352</c:v>
                </c:pt>
                <c:pt idx="1366">
                  <c:v>0.94861111111110796</c:v>
                </c:pt>
                <c:pt idx="1367">
                  <c:v>0.9493055555555524</c:v>
                </c:pt>
                <c:pt idx="1368">
                  <c:v>0.94999999999999685</c:v>
                </c:pt>
                <c:pt idx="1369">
                  <c:v>0.95069444444444129</c:v>
                </c:pt>
                <c:pt idx="1370">
                  <c:v>0.95138888888888573</c:v>
                </c:pt>
                <c:pt idx="1371">
                  <c:v>0.95208333333333017</c:v>
                </c:pt>
                <c:pt idx="1372">
                  <c:v>0.95277777777777461</c:v>
                </c:pt>
                <c:pt idx="1373">
                  <c:v>0.95347222222221906</c:v>
                </c:pt>
                <c:pt idx="1374">
                  <c:v>0.9541666666666635</c:v>
                </c:pt>
                <c:pt idx="1375">
                  <c:v>0.95486111111110794</c:v>
                </c:pt>
                <c:pt idx="1376">
                  <c:v>0.95555555555555238</c:v>
                </c:pt>
                <c:pt idx="1377">
                  <c:v>0.95624999999999682</c:v>
                </c:pt>
                <c:pt idx="1378">
                  <c:v>0.95694444444444127</c:v>
                </c:pt>
                <c:pt idx="1379">
                  <c:v>0.95763888888888571</c:v>
                </c:pt>
                <c:pt idx="1380">
                  <c:v>0.95833333333333015</c:v>
                </c:pt>
                <c:pt idx="1381">
                  <c:v>0.95902777777777459</c:v>
                </c:pt>
                <c:pt idx="1382">
                  <c:v>0.95972222222221903</c:v>
                </c:pt>
                <c:pt idx="1383">
                  <c:v>0.96041666666666348</c:v>
                </c:pt>
                <c:pt idx="1384">
                  <c:v>0.96111111111110792</c:v>
                </c:pt>
                <c:pt idx="1385">
                  <c:v>0.96180555555555236</c:v>
                </c:pt>
                <c:pt idx="1386">
                  <c:v>0.9624999999999968</c:v>
                </c:pt>
                <c:pt idx="1387">
                  <c:v>0.96319444444444124</c:v>
                </c:pt>
                <c:pt idx="1388">
                  <c:v>0.96388888888888569</c:v>
                </c:pt>
                <c:pt idx="1389">
                  <c:v>0.96458333333333013</c:v>
                </c:pt>
                <c:pt idx="1390">
                  <c:v>0.96527777777777457</c:v>
                </c:pt>
                <c:pt idx="1391">
                  <c:v>0.96597222222221901</c:v>
                </c:pt>
                <c:pt idx="1392">
                  <c:v>0.96666666666666345</c:v>
                </c:pt>
                <c:pt idx="1393">
                  <c:v>0.9673611111111079</c:v>
                </c:pt>
                <c:pt idx="1394">
                  <c:v>0.96805555555555234</c:v>
                </c:pt>
                <c:pt idx="1395">
                  <c:v>0.96874999999999678</c:v>
                </c:pt>
                <c:pt idx="1396">
                  <c:v>0.96944444444444122</c:v>
                </c:pt>
                <c:pt idx="1397">
                  <c:v>0.97013888888888566</c:v>
                </c:pt>
                <c:pt idx="1398">
                  <c:v>0.97083333333333011</c:v>
                </c:pt>
                <c:pt idx="1399">
                  <c:v>0.97152777777777455</c:v>
                </c:pt>
                <c:pt idx="1400">
                  <c:v>0.97222222222221899</c:v>
                </c:pt>
                <c:pt idx="1401">
                  <c:v>0.97291666666666343</c:v>
                </c:pt>
                <c:pt idx="1402">
                  <c:v>0.97361111111110787</c:v>
                </c:pt>
                <c:pt idx="1403">
                  <c:v>0.97430555555555232</c:v>
                </c:pt>
                <c:pt idx="1404">
                  <c:v>0.97499999999999676</c:v>
                </c:pt>
                <c:pt idx="1405">
                  <c:v>0.9756944444444412</c:v>
                </c:pt>
                <c:pt idx="1406">
                  <c:v>0.97638888888888564</c:v>
                </c:pt>
                <c:pt idx="1407">
                  <c:v>0.97708333333333008</c:v>
                </c:pt>
                <c:pt idx="1408">
                  <c:v>0.97777777777777453</c:v>
                </c:pt>
                <c:pt idx="1409">
                  <c:v>0.97847222222221897</c:v>
                </c:pt>
                <c:pt idx="1410">
                  <c:v>0.97916666666666341</c:v>
                </c:pt>
                <c:pt idx="1411">
                  <c:v>0.97986111111110785</c:v>
                </c:pt>
                <c:pt idx="1412">
                  <c:v>0.98055555555555229</c:v>
                </c:pt>
                <c:pt idx="1413">
                  <c:v>0.98124999999999674</c:v>
                </c:pt>
                <c:pt idx="1414">
                  <c:v>0.98194444444444118</c:v>
                </c:pt>
                <c:pt idx="1415">
                  <c:v>0.98263888888888562</c:v>
                </c:pt>
                <c:pt idx="1416">
                  <c:v>0.98333333333333006</c:v>
                </c:pt>
                <c:pt idx="1417">
                  <c:v>0.9840277777777745</c:v>
                </c:pt>
                <c:pt idx="1418">
                  <c:v>0.98472222222221895</c:v>
                </c:pt>
                <c:pt idx="1419">
                  <c:v>0.98541666666666339</c:v>
                </c:pt>
                <c:pt idx="1420">
                  <c:v>0.98611111111110783</c:v>
                </c:pt>
                <c:pt idx="1421">
                  <c:v>0.98680555555555227</c:v>
                </c:pt>
                <c:pt idx="1422">
                  <c:v>0.98749999999999671</c:v>
                </c:pt>
                <c:pt idx="1423">
                  <c:v>0.98819444444444116</c:v>
                </c:pt>
                <c:pt idx="1424">
                  <c:v>0.9888888888888856</c:v>
                </c:pt>
                <c:pt idx="1425">
                  <c:v>0.98958333333333004</c:v>
                </c:pt>
                <c:pt idx="1426">
                  <c:v>0.99027777777777448</c:v>
                </c:pt>
                <c:pt idx="1427">
                  <c:v>0.99097222222221892</c:v>
                </c:pt>
                <c:pt idx="1428">
                  <c:v>0.99166666666666337</c:v>
                </c:pt>
                <c:pt idx="1429">
                  <c:v>0.99236111111110781</c:v>
                </c:pt>
                <c:pt idx="1430">
                  <c:v>0.99305555555555225</c:v>
                </c:pt>
                <c:pt idx="1431">
                  <c:v>0.99374999999999669</c:v>
                </c:pt>
                <c:pt idx="1432">
                  <c:v>0.99444444444444113</c:v>
                </c:pt>
                <c:pt idx="1433">
                  <c:v>0.99513888888888558</c:v>
                </c:pt>
                <c:pt idx="1434">
                  <c:v>0.99583333333333002</c:v>
                </c:pt>
                <c:pt idx="1435">
                  <c:v>0.99652777777777446</c:v>
                </c:pt>
                <c:pt idx="1436">
                  <c:v>0.9972222222222189</c:v>
                </c:pt>
                <c:pt idx="1437">
                  <c:v>0.99791666666666334</c:v>
                </c:pt>
                <c:pt idx="1438">
                  <c:v>0.99861111111110779</c:v>
                </c:pt>
                <c:pt idx="1439">
                  <c:v>0.99930555555555223</c:v>
                </c:pt>
              </c:numCache>
            </c:numRef>
          </c:xVal>
          <c:yVal>
            <c:numRef>
              <c:f>'Light &amp; Temp Charts'!$L$12:$L$25</c:f>
              <c:numCache>
                <c:formatCode>General</c:formatCode>
                <c:ptCount val="14"/>
                <c:pt idx="0">
                  <c:v>1</c:v>
                </c:pt>
                <c:pt idx="1">
                  <c:v>57</c:v>
                </c:pt>
                <c:pt idx="2">
                  <c:v>24</c:v>
                </c:pt>
                <c:pt idx="3">
                  <c:v>24</c:v>
                </c:pt>
                <c:pt idx="4">
                  <c:v>24</c:v>
                </c:pt>
                <c:pt idx="5">
                  <c:v>24</c:v>
                </c:pt>
                <c:pt idx="6">
                  <c:v>24</c:v>
                </c:pt>
                <c:pt idx="7">
                  <c:v>24</c:v>
                </c:pt>
                <c:pt idx="8">
                  <c:v>24</c:v>
                </c:pt>
                <c:pt idx="9">
                  <c:v>24</c:v>
                </c:pt>
                <c:pt idx="10">
                  <c:v>57</c:v>
                </c:pt>
                <c:pt idx="11">
                  <c:v>57</c:v>
                </c:pt>
              </c:numCache>
            </c:numRef>
          </c:yVal>
          <c:smooth val="1"/>
          <c:extLst>
            <c:ext xmlns:c16="http://schemas.microsoft.com/office/drawing/2014/chart" uri="{C3380CC4-5D6E-409C-BE32-E72D297353CC}">
              <c16:uniqueId val="{00000002-0220-4DBC-BA2B-9C1CA8C0E428}"/>
            </c:ext>
          </c:extLst>
        </c:ser>
        <c:dLbls>
          <c:showLegendKey val="0"/>
          <c:showVal val="0"/>
          <c:showCatName val="0"/>
          <c:showSerName val="0"/>
          <c:showPercent val="0"/>
          <c:showBubbleSize val="0"/>
        </c:dLbls>
        <c:axId val="400091608"/>
        <c:axId val="400092392"/>
      </c:scatterChart>
      <c:valAx>
        <c:axId val="400091608"/>
        <c:scaling>
          <c:orientation val="minMax"/>
          <c:max val="1"/>
          <c:min val="0"/>
        </c:scaling>
        <c:delete val="0"/>
        <c:axPos val="b"/>
        <c:majorGridlines>
          <c:spPr>
            <a:ln w="12700" cap="flat" cmpd="sng" algn="ctr">
              <a:solidFill>
                <a:schemeClr val="tx2">
                  <a:lumMod val="60000"/>
                  <a:lumOff val="40000"/>
                </a:schemeClr>
              </a:solidFill>
              <a:round/>
            </a:ln>
            <a:effectLst/>
          </c:spPr>
        </c:majorGridlines>
        <c:minorGridlines>
          <c:spPr>
            <a:ln w="12700" cap="flat" cmpd="sng" algn="ctr">
              <a:solidFill>
                <a:schemeClr val="tx2">
                  <a:lumMod val="40000"/>
                  <a:lumOff val="60000"/>
                </a:schemeClr>
              </a:solidFill>
              <a:round/>
            </a:ln>
            <a:effectLst/>
          </c:spPr>
        </c:minorGridlines>
        <c:numFmt formatCode="h:mm"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92392"/>
        <c:crosses val="autoZero"/>
        <c:crossBetween val="midCat"/>
        <c:majorUnit val="4.166667000000001E-2"/>
        <c:minorUnit val="1.0416670000000001E-2"/>
      </c:valAx>
      <c:valAx>
        <c:axId val="400092392"/>
        <c:scaling>
          <c:orientation val="minMax"/>
          <c:max val="1"/>
          <c:min val="0"/>
        </c:scaling>
        <c:delete val="0"/>
        <c:axPos val="r"/>
        <c:majorGridlines>
          <c:spPr>
            <a:ln w="9525" cap="flat" cmpd="sng" algn="ctr">
              <a:noFill/>
              <a:round/>
            </a:ln>
            <a:effectLst/>
          </c:spPr>
        </c:majorGridlines>
        <c:minorGridlines>
          <c:spPr>
            <a:ln w="9525" cap="flat" cmpd="sng" algn="ctr">
              <a:noFill/>
              <a:round/>
            </a:ln>
            <a:effectLst/>
          </c:spPr>
        </c:min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091608"/>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2">
          <a:lumMod val="20000"/>
          <a:lumOff val="80000"/>
        </a:schemeClr>
      </a:solidFill>
      <a:round/>
    </a:ln>
    <a:effectLst/>
  </c:spPr>
  <c:txPr>
    <a:bodyPr/>
    <a:lstStyle/>
    <a:p>
      <a:pPr>
        <a:defRPr/>
      </a:pPr>
      <a:endParaRPr lang="en-US"/>
    </a:p>
  </c:txPr>
  <c:printSettings>
    <c:headerFooter>
      <c:oddFooter>&amp;L&amp;G      &amp;P  of  &amp;N  &amp;R© Activinsights Ltd 2014</c:oddFooter>
    </c:headerFooter>
    <c:pageMargins b="0.74803149606299213" l="0.70866141732283472" r="0.70866141732283472" t="0.74803149606299213" header="0.31496062992125984" footer="0.31496062992125984"/>
    <c:pageSetup paperSize="9" orientation="portrait"/>
    <c:legacyDrawingHF r:id="rId3"/>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12</xdr:row>
          <xdr:rowOff>114300</xdr:rowOff>
        </xdr:from>
        <xdr:to>
          <xdr:col>2</xdr:col>
          <xdr:colOff>241300</xdr:colOff>
          <xdr:row>14</xdr:row>
          <xdr:rowOff>63500</xdr:rowOff>
        </xdr:to>
        <xdr:sp macro="" textlink="">
          <xdr:nvSpPr>
            <xdr:cNvPr id="736260" name="Button 4" hidden="1">
              <a:extLst>
                <a:ext uri="{63B3BB69-23CF-44E3-9099-C40C66FF867C}">
                  <a14:compatExt spid="_x0000_s736260"/>
                </a:ext>
                <a:ext uri="{FF2B5EF4-FFF2-40B4-BE49-F238E27FC236}">
                  <a16:creationId xmlns:a16="http://schemas.microsoft.com/office/drawing/2014/main" id="{00000000-0008-0000-0200-0000043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Verdana" pitchFamily="2" charset="0"/>
                  <a:ea typeface="Verdana" pitchFamily="2" charset="0"/>
                  <a:cs typeface="Verdana" pitchFamily="2" charset="0"/>
                </a:rPr>
                <a:t>Print Report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12</xdr:row>
          <xdr:rowOff>114300</xdr:rowOff>
        </xdr:from>
        <xdr:to>
          <xdr:col>2</xdr:col>
          <xdr:colOff>2590800</xdr:colOff>
          <xdr:row>14</xdr:row>
          <xdr:rowOff>63500</xdr:rowOff>
        </xdr:to>
        <xdr:sp macro="" textlink="">
          <xdr:nvSpPr>
            <xdr:cNvPr id="736261" name="Button 5" hidden="1">
              <a:extLst>
                <a:ext uri="{63B3BB69-23CF-44E3-9099-C40C66FF867C}">
                  <a14:compatExt spid="_x0000_s736261"/>
                </a:ext>
                <a:ext uri="{FF2B5EF4-FFF2-40B4-BE49-F238E27FC236}">
                  <a16:creationId xmlns:a16="http://schemas.microsoft.com/office/drawing/2014/main" id="{00000000-0008-0000-0200-0000053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Verdana" pitchFamily="2" charset="0"/>
                  <a:ea typeface="Verdana" pitchFamily="2" charset="0"/>
                  <a:cs typeface="Verdana" pitchFamily="2" charset="0"/>
                </a:rPr>
                <a:t>Export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15</xdr:row>
          <xdr:rowOff>63500</xdr:rowOff>
        </xdr:from>
        <xdr:to>
          <xdr:col>2</xdr:col>
          <xdr:colOff>241300</xdr:colOff>
          <xdr:row>17</xdr:row>
          <xdr:rowOff>12700</xdr:rowOff>
        </xdr:to>
        <xdr:sp macro="" textlink="">
          <xdr:nvSpPr>
            <xdr:cNvPr id="736262" name="Button 6" hidden="1">
              <a:extLst>
                <a:ext uri="{63B3BB69-23CF-44E3-9099-C40C66FF867C}">
                  <a14:compatExt spid="_x0000_s736262"/>
                </a:ext>
                <a:ext uri="{FF2B5EF4-FFF2-40B4-BE49-F238E27FC236}">
                  <a16:creationId xmlns:a16="http://schemas.microsoft.com/office/drawing/2014/main" id="{00000000-0008-0000-0200-0000063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Verdana" pitchFamily="2" charset="0"/>
                  <a:ea typeface="Verdana" pitchFamily="2" charset="0"/>
                  <a:cs typeface="Verdana" pitchFamily="2" charset="0"/>
                </a:rPr>
                <a:t>Print Report (US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292100</xdr:colOff>
          <xdr:row>10</xdr:row>
          <xdr:rowOff>25400</xdr:rowOff>
        </xdr:from>
        <xdr:to>
          <xdr:col>2</xdr:col>
          <xdr:colOff>254000</xdr:colOff>
          <xdr:row>11</xdr:row>
          <xdr:rowOff>139700</xdr:rowOff>
        </xdr:to>
        <xdr:sp macro="" textlink="">
          <xdr:nvSpPr>
            <xdr:cNvPr id="736263" name="Button 7" hidden="1">
              <a:extLst>
                <a:ext uri="{63B3BB69-23CF-44E3-9099-C40C66FF867C}">
                  <a14:compatExt spid="_x0000_s736263"/>
                </a:ext>
                <a:ext uri="{FF2B5EF4-FFF2-40B4-BE49-F238E27FC236}">
                  <a16:creationId xmlns:a16="http://schemas.microsoft.com/office/drawing/2014/main" id="{00000000-0008-0000-0200-0000073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Verdana" pitchFamily="2" charset="0"/>
                  <a:ea typeface="Verdana" pitchFamily="2" charset="0"/>
                  <a:cs typeface="Verdana" pitchFamily="2" charset="0"/>
                </a:rPr>
                <a:t>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25400</xdr:rowOff>
        </xdr:from>
        <xdr:to>
          <xdr:col>2</xdr:col>
          <xdr:colOff>2603500</xdr:colOff>
          <xdr:row>11</xdr:row>
          <xdr:rowOff>139700</xdr:rowOff>
        </xdr:to>
        <xdr:sp macro="" textlink="">
          <xdr:nvSpPr>
            <xdr:cNvPr id="736264" name="Button 8" hidden="1">
              <a:extLst>
                <a:ext uri="{63B3BB69-23CF-44E3-9099-C40C66FF867C}">
                  <a14:compatExt spid="_x0000_s736264"/>
                </a:ext>
                <a:ext uri="{FF2B5EF4-FFF2-40B4-BE49-F238E27FC236}">
                  <a16:creationId xmlns:a16="http://schemas.microsoft.com/office/drawing/2014/main" id="{00000000-0008-0000-0200-0000083C0B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Verdana" pitchFamily="2" charset="0"/>
                  <a:ea typeface="Verdana" pitchFamily="2" charset="0"/>
                  <a:cs typeface="Verdana" pitchFamily="2" charset="0"/>
                </a:rPr>
                <a:t>Generate graphs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2</xdr:row>
      <xdr:rowOff>10885</xdr:rowOff>
    </xdr:from>
    <xdr:to>
      <xdr:col>14</xdr:col>
      <xdr:colOff>604157</xdr:colOff>
      <xdr:row>5</xdr:row>
      <xdr:rowOff>141987</xdr:rowOff>
    </xdr:to>
    <xdr:graphicFrame macro="">
      <xdr:nvGraphicFramePr>
        <xdr:cNvPr id="5434629" name="Sleep 1">
          <a:extLst>
            <a:ext uri="{FF2B5EF4-FFF2-40B4-BE49-F238E27FC236}">
              <a16:creationId xmlns:a16="http://schemas.microsoft.com/office/drawing/2014/main" id="{00000000-0008-0000-0400-000005ED5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241300</xdr:colOff>
          <xdr:row>3</xdr:row>
          <xdr:rowOff>139700</xdr:rowOff>
        </xdr:from>
        <xdr:to>
          <xdr:col>7</xdr:col>
          <xdr:colOff>330200</xdr:colOff>
          <xdr:row>3</xdr:row>
          <xdr:rowOff>901700</xdr:rowOff>
        </xdr:to>
        <xdr:sp macro="" textlink="">
          <xdr:nvSpPr>
            <xdr:cNvPr id="4263307" name="Button 395" hidden="1">
              <a:extLst>
                <a:ext uri="{63B3BB69-23CF-44E3-9099-C40C66FF867C}">
                  <a14:compatExt spid="_x0000_s4263307"/>
                </a:ext>
                <a:ext uri="{FF2B5EF4-FFF2-40B4-BE49-F238E27FC236}">
                  <a16:creationId xmlns:a16="http://schemas.microsoft.com/office/drawing/2014/main" id="{00000000-0008-0000-0500-00008B0D4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Verdana" pitchFamily="2" charset="0"/>
                  <a:ea typeface="Verdana" pitchFamily="2" charset="0"/>
                  <a:cs typeface="Verdana" pitchFamily="2" charset="0"/>
                </a:rPr>
                <a:t>Recalculate </a:t>
              </a:r>
              <a:r>
                <a:rPr lang="en-US" sz="1000" b="1" i="0" u="none" strike="noStrike" baseline="0">
                  <a:solidFill>
                    <a:srgbClr val="000000"/>
                  </a:solidFill>
                  <a:latin typeface="Verdana" pitchFamily="2" charset="0"/>
                  <a:ea typeface="Verdana" pitchFamily="2" charset="0"/>
                  <a:cs typeface="Verdana" pitchFamily="2" charset="0"/>
                </a:rPr>
                <a:t>count</a:t>
              </a:r>
              <a:r>
                <a:rPr lang="en-US" sz="1000" b="0" i="0" u="none" strike="noStrike" baseline="0">
                  <a:solidFill>
                    <a:srgbClr val="000000"/>
                  </a:solidFill>
                  <a:latin typeface="Verdana" pitchFamily="2" charset="0"/>
                  <a:ea typeface="Verdana" pitchFamily="2" charset="0"/>
                  <a:cs typeface="Verdana" pitchFamily="2" charset="0"/>
                </a:rPr>
                <a:t> and </a:t>
              </a:r>
              <a:r>
                <a:rPr lang="en-US" sz="1000" b="1" i="0" u="none" strike="noStrike" baseline="0">
                  <a:solidFill>
                    <a:srgbClr val="000000"/>
                  </a:solidFill>
                  <a:latin typeface="Verdana" pitchFamily="2" charset="0"/>
                  <a:ea typeface="Verdana" pitchFamily="2" charset="0"/>
                  <a:cs typeface="Verdana" pitchFamily="2" charset="0"/>
                </a:rPr>
                <a:t>median</a:t>
              </a:r>
              <a:r>
                <a:rPr lang="en-US" sz="1000" b="0" i="0" u="none" strike="noStrike" baseline="0">
                  <a:solidFill>
                    <a:srgbClr val="000000"/>
                  </a:solidFill>
                  <a:latin typeface="Verdana" pitchFamily="2" charset="0"/>
                  <a:ea typeface="Verdana" pitchFamily="2" charset="0"/>
                  <a:cs typeface="Verdana" pitchFamily="2" charset="0"/>
                </a:rPr>
                <a:t> of </a:t>
              </a:r>
              <a:r>
                <a:rPr lang="en-US" sz="1000" b="1" i="0" u="none" strike="noStrike" baseline="0">
                  <a:solidFill>
                    <a:srgbClr val="000000"/>
                  </a:solidFill>
                  <a:latin typeface="Verdana" pitchFamily="2" charset="0"/>
                  <a:ea typeface="Verdana" pitchFamily="2" charset="0"/>
                  <a:cs typeface="Verdana" pitchFamily="2" charset="0"/>
                </a:rPr>
                <a:t>activity periods</a:t>
              </a:r>
              <a:r>
                <a:rPr lang="en-US" sz="1000" b="0" i="0" u="none" strike="noStrike" baseline="0">
                  <a:solidFill>
                    <a:srgbClr val="000000"/>
                  </a:solidFill>
                  <a:latin typeface="Verdana" pitchFamily="2" charset="0"/>
                  <a:ea typeface="Verdana" pitchFamily="2" charset="0"/>
                  <a:cs typeface="Verdana" pitchFamily="2" charset="0"/>
                </a:rPr>
                <a:t> (columns I &amp; J) with updated</a:t>
              </a:r>
              <a:r>
                <a:rPr lang="en-US" sz="1000" b="1" i="0" u="none" strike="noStrike" baseline="0">
                  <a:solidFill>
                    <a:srgbClr val="000000"/>
                  </a:solidFill>
                  <a:latin typeface="Verdana" pitchFamily="2" charset="0"/>
                  <a:ea typeface="Verdana" pitchFamily="2" charset="0"/>
                  <a:cs typeface="Verdana" pitchFamily="2" charset="0"/>
                </a:rPr>
                <a:t> bed and rise times</a:t>
              </a:r>
              <a:r>
                <a:rPr lang="en-US" sz="1000" b="0" i="0" u="none" strike="noStrike" baseline="0">
                  <a:solidFill>
                    <a:srgbClr val="000000"/>
                  </a:solidFill>
                  <a:latin typeface="Verdana" pitchFamily="2" charset="0"/>
                  <a:ea typeface="Verdana" pitchFamily="2" charset="0"/>
                  <a:cs typeface="Verdana" pitchFamily="2" charset="0"/>
                </a:rPr>
                <a:t> (columns D &amp; 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6.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73" workbookViewId="0">
      <selection activeCell="B12" sqref="B12"/>
    </sheetView>
  </sheetViews>
  <sheetFormatPr baseColWidth="10" defaultColWidth="8.83203125" defaultRowHeight="13"/>
  <cols>
    <col min="1" max="1" width="15.5" bestFit="1" customWidth="1"/>
    <col min="11" max="11" width="15.5" bestFit="1" customWidth="1"/>
  </cols>
  <sheetData/>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F2888"/>
  <sheetViews>
    <sheetView showGridLines="0" topLeftCell="AL1" zoomScaleNormal="100" workbookViewId="0">
      <pane ySplit="3" topLeftCell="A4" activePane="bottomLeft" state="frozen"/>
      <selection pane="bottomLeft" activeCell="AG1" sqref="AG1"/>
    </sheetView>
  </sheetViews>
  <sheetFormatPr baseColWidth="10" defaultColWidth="8.83203125" defaultRowHeight="13"/>
  <cols>
    <col min="1" max="1" width="11.5" customWidth="1"/>
    <col min="2" max="2" width="7.6640625" customWidth="1"/>
    <col min="3" max="5" width="6.5" customWidth="1"/>
    <col min="6" max="6" width="4.5" customWidth="1"/>
    <col min="7" max="7" width="6.83203125" customWidth="1"/>
    <col min="8" max="8" width="6.1640625" customWidth="1"/>
    <col min="9" max="13" width="7.1640625" customWidth="1"/>
    <col min="15" max="15" width="10.5" customWidth="1"/>
    <col min="16" max="16" width="5.33203125" customWidth="1"/>
    <col min="17" max="17" width="5.1640625" customWidth="1"/>
    <col min="18" max="18" width="2.83203125" customWidth="1"/>
    <col min="19" max="19" width="10.5" customWidth="1"/>
    <col min="20" max="20" width="7.1640625" customWidth="1"/>
    <col min="21" max="21" width="7.1640625" style="66" customWidth="1"/>
    <col min="22" max="22" width="7.1640625" style="96" customWidth="1"/>
    <col min="23" max="23" width="10.5" style="66" customWidth="1"/>
    <col min="24" max="25" width="3.5" style="66" customWidth="1"/>
    <col min="26" max="26" width="8.5" style="66" bestFit="1" customWidth="1"/>
    <col min="27" max="27" width="8" bestFit="1" customWidth="1"/>
    <col min="28" max="28" width="10.83203125" customWidth="1"/>
    <col min="29" max="29" width="8" bestFit="1" customWidth="1"/>
    <col min="30" max="30" width="6.1640625" bestFit="1" customWidth="1"/>
    <col min="31" max="31" width="6.83203125" bestFit="1" customWidth="1"/>
    <col min="32" max="32" width="9.6640625" customWidth="1"/>
    <col min="33" max="33" width="8.6640625" bestFit="1" customWidth="1"/>
    <col min="34" max="35" width="8.5" bestFit="1" customWidth="1"/>
    <col min="36" max="36" width="4.1640625" customWidth="1"/>
    <col min="38" max="38" width="12.83203125" bestFit="1" customWidth="1"/>
    <col min="39" max="39" width="8.6640625" bestFit="1" customWidth="1"/>
    <col min="40" max="40" width="8.5" bestFit="1" customWidth="1"/>
    <col min="41" max="41" width="11.1640625" bestFit="1" customWidth="1"/>
    <col min="42" max="42" width="11.1640625" customWidth="1"/>
    <col min="43" max="43" width="10.83203125" customWidth="1"/>
    <col min="44" max="44" width="9.83203125" customWidth="1"/>
    <col min="45" max="45" width="9.33203125" customWidth="1"/>
    <col min="46" max="47" width="10.5" customWidth="1"/>
    <col min="48" max="48" width="20.33203125" bestFit="1" customWidth="1"/>
    <col min="49" max="49" width="8.5" bestFit="1" customWidth="1"/>
    <col min="50" max="50" width="8.6640625" bestFit="1" customWidth="1"/>
    <col min="51" max="51" width="8.5" bestFit="1" customWidth="1"/>
    <col min="52" max="52" width="4.5" bestFit="1" customWidth="1"/>
    <col min="54" max="54" width="11.5" customWidth="1"/>
  </cols>
  <sheetData>
    <row r="1" spans="1:58">
      <c r="A1" s="15" t="e">
        <f ca="1">OFFSET(A4,rows-1,0,1,1)-A4+1</f>
        <v>#VALUE!</v>
      </c>
      <c r="B1" s="19"/>
      <c r="C1" s="3"/>
      <c r="D1" s="3"/>
      <c r="E1" s="3"/>
      <c r="F1" s="4"/>
      <c r="G1" s="4"/>
      <c r="H1" s="5"/>
      <c r="I1" s="4"/>
      <c r="J1" s="4"/>
      <c r="K1" s="4"/>
      <c r="L1" s="4"/>
      <c r="M1" s="4"/>
      <c r="N1" s="11">
        <f>MAX(N5:N65536)</f>
        <v>0</v>
      </c>
      <c r="O1" s="12"/>
      <c r="P1" s="12"/>
      <c r="Q1" s="12"/>
      <c r="R1" s="12"/>
      <c r="S1" s="12">
        <f>MATCH(TRUE,S4:S65536,0)</f>
        <v>1</v>
      </c>
      <c r="T1" s="12"/>
      <c r="W1" s="66">
        <v>1</v>
      </c>
      <c r="Z1" s="67"/>
      <c r="AF1" s="20" t="s">
        <v>70</v>
      </c>
      <c r="AG1" s="20">
        <f>COUNTA('Input csv'!A101:A65536)</f>
        <v>0</v>
      </c>
      <c r="AH1" s="20"/>
      <c r="AI1" s="20"/>
      <c r="AJ1" s="20"/>
      <c r="AK1" s="60">
        <v>30</v>
      </c>
      <c r="AL1" s="26" t="s">
        <v>37</v>
      </c>
      <c r="AM1" s="25" t="e">
        <f>INT((rows-noon_row)/1440)</f>
        <v>#VALUE!</v>
      </c>
      <c r="AN1" s="4">
        <f>1440/Res</f>
        <v>48</v>
      </c>
      <c r="AO1" s="4">
        <f>MAX(AL:AL)</f>
        <v>0</v>
      </c>
      <c r="AP1" s="15">
        <f>MAX(AM4:AM65536)</f>
        <v>0</v>
      </c>
      <c r="AQ1" s="15"/>
      <c r="AR1" s="15"/>
      <c r="AS1" s="15"/>
      <c r="AT1" s="30">
        <f>MAX(H:H)</f>
        <v>0</v>
      </c>
      <c r="AU1" s="30"/>
      <c r="AV1" s="21"/>
      <c r="AW1" s="23"/>
      <c r="AX1" s="23"/>
      <c r="AY1" s="23"/>
      <c r="BB1" s="19"/>
      <c r="BC1" s="15"/>
    </row>
    <row r="2" spans="1:58">
      <c r="A2" s="31"/>
      <c r="B2" s="15"/>
      <c r="C2" s="3"/>
      <c r="D2" s="28"/>
      <c r="E2" s="3"/>
      <c r="F2" s="4"/>
      <c r="G2" s="4"/>
      <c r="H2" s="5"/>
      <c r="I2" s="4"/>
      <c r="J2" s="4"/>
      <c r="K2" s="4"/>
      <c r="L2" s="4"/>
      <c r="M2" s="4">
        <f>MAX(M4:M65536)</f>
        <v>0</v>
      </c>
      <c r="N2" s="11"/>
      <c r="O2" s="12"/>
      <c r="P2" s="12"/>
      <c r="Q2" s="12"/>
      <c r="R2" s="12"/>
      <c r="S2" s="12"/>
      <c r="T2" s="12"/>
      <c r="AF2" s="24" t="s">
        <v>71</v>
      </c>
      <c r="AG2" s="24" t="e">
        <f>IF(720-INT(B4*1440)&lt;0,1440+(720-INT(B4*1440))+3,720-INT(B4*1440)+3)</f>
        <v>#VALUE!</v>
      </c>
      <c r="AH2" s="24"/>
      <c r="AI2" s="24"/>
      <c r="AJ2" s="24"/>
      <c r="AK2" s="61" t="e">
        <f>1440-INT(B4*1440)+3</f>
        <v>#VALUE!</v>
      </c>
      <c r="AL2" s="26" t="s">
        <v>45</v>
      </c>
      <c r="AM2" s="25" t="e">
        <f>IF(midnight_row&lt;noon_row,midnight_row,noon_row)</f>
        <v>#VALUE!</v>
      </c>
      <c r="AN2" s="4"/>
      <c r="AO2" s="4"/>
      <c r="AP2" s="15"/>
      <c r="AQ2" s="15"/>
      <c r="AR2" s="15"/>
      <c r="AS2" s="15"/>
      <c r="AV2" s="21"/>
      <c r="AW2" s="23"/>
      <c r="AX2" s="23"/>
      <c r="AY2" s="23"/>
    </row>
    <row r="3" spans="1:58" s="6" customFormat="1" ht="56">
      <c r="A3" s="32" t="s">
        <v>35</v>
      </c>
      <c r="B3" s="18" t="s">
        <v>23</v>
      </c>
      <c r="C3" s="7" t="s">
        <v>24</v>
      </c>
      <c r="D3" s="7" t="s">
        <v>25</v>
      </c>
      <c r="E3" s="7" t="s">
        <v>26</v>
      </c>
      <c r="F3" s="8" t="s">
        <v>27</v>
      </c>
      <c r="G3" s="8" t="s">
        <v>28</v>
      </c>
      <c r="H3" s="9" t="s">
        <v>29</v>
      </c>
      <c r="I3" s="8" t="s">
        <v>30</v>
      </c>
      <c r="J3" s="8" t="s">
        <v>47</v>
      </c>
      <c r="K3" s="8" t="s">
        <v>48</v>
      </c>
      <c r="L3" s="8" t="s">
        <v>49</v>
      </c>
      <c r="M3" s="8" t="s">
        <v>36</v>
      </c>
      <c r="N3" s="6" t="s">
        <v>55</v>
      </c>
      <c r="O3" s="10" t="s">
        <v>31</v>
      </c>
      <c r="P3" s="68" t="s">
        <v>50</v>
      </c>
      <c r="Q3" s="68" t="s">
        <v>50</v>
      </c>
      <c r="R3" s="69"/>
      <c r="S3" s="69" t="s">
        <v>51</v>
      </c>
      <c r="T3" s="95" t="s">
        <v>67</v>
      </c>
      <c r="U3" s="95" t="s">
        <v>68</v>
      </c>
      <c r="V3" s="97" t="s">
        <v>69</v>
      </c>
      <c r="W3" s="70" t="s">
        <v>52</v>
      </c>
      <c r="X3" s="71"/>
      <c r="Y3" s="71"/>
      <c r="Z3" s="71" t="s">
        <v>53</v>
      </c>
      <c r="AA3"/>
      <c r="AB3"/>
      <c r="AC3"/>
      <c r="AD3"/>
      <c r="AE3"/>
      <c r="AF3"/>
      <c r="AG3"/>
      <c r="AI3" s="6" t="s">
        <v>54</v>
      </c>
      <c r="AK3" s="18"/>
      <c r="AL3" s="8"/>
      <c r="AM3" s="8"/>
      <c r="AN3" s="8"/>
      <c r="AP3" s="14"/>
      <c r="AQ3" s="14"/>
      <c r="AR3" s="14"/>
      <c r="AS3" s="14"/>
      <c r="AV3" s="51"/>
      <c r="AW3" s="51"/>
      <c r="AX3" s="51"/>
      <c r="AY3" s="51"/>
      <c r="AZ3" s="6" t="s">
        <v>40</v>
      </c>
      <c r="BA3" s="6" t="s">
        <v>41</v>
      </c>
      <c r="BB3" s="64" t="s">
        <v>42</v>
      </c>
      <c r="BC3" s="14" t="s">
        <v>46</v>
      </c>
      <c r="BE3" s="6" t="s">
        <v>64</v>
      </c>
      <c r="BF3" s="6" t="s">
        <v>65</v>
      </c>
    </row>
    <row r="4" spans="1:58" ht="12" customHeight="1">
      <c r="A4" s="31" t="str">
        <f>LEFT('Input csv'!A101,10)</f>
        <v/>
      </c>
      <c r="B4" s="19" t="str">
        <f>MID('Input csv'!A101,12,5)</f>
        <v/>
      </c>
      <c r="C4" s="3">
        <f>'Input csv'!B101</f>
        <v>0</v>
      </c>
      <c r="D4" s="3">
        <f>'Input csv'!C101</f>
        <v>0</v>
      </c>
      <c r="E4" s="3">
        <f>'Input csv'!D101</f>
        <v>0</v>
      </c>
      <c r="F4" s="4">
        <f>'Input csv'!E101</f>
        <v>0</v>
      </c>
      <c r="G4" s="4">
        <f>'Input csv'!F101</f>
        <v>0</v>
      </c>
      <c r="H4" s="5">
        <f>'Input csv'!G101</f>
        <v>0</v>
      </c>
      <c r="I4" s="4">
        <f>'Input csv'!H101</f>
        <v>0</v>
      </c>
      <c r="J4" s="4">
        <f>'Input csv'!I101</f>
        <v>0</v>
      </c>
      <c r="K4" s="4">
        <f>'Input csv'!J101</f>
        <v>0</v>
      </c>
      <c r="L4" s="4">
        <f>'Input csv'!K101</f>
        <v>0</v>
      </c>
      <c r="M4" s="4">
        <f>'Input csv'!L101</f>
        <v>0</v>
      </c>
      <c r="N4" s="63" t="e">
        <f t="shared" ref="N4:N65" si="0">SQRT((ABS(J3-J4)+ABS(K3-K4)+ABS(L3-L4))*I4*100/frequency)</f>
        <v>#VALUE!</v>
      </c>
      <c r="O4" s="13"/>
      <c r="P4" s="4">
        <f>(J4+K4+L4)</f>
        <v>0</v>
      </c>
      <c r="Q4">
        <f t="shared" ref="Q4:Q35" si="1">(O4*I4)*(100/frequency)</f>
        <v>0</v>
      </c>
      <c r="R4">
        <f>MEDIAN($P$1:P63)</f>
        <v>0</v>
      </c>
      <c r="S4" t="b">
        <f>IF(R4&gt;0.1,FALSE,TRUE)</f>
        <v>1</v>
      </c>
      <c r="T4" s="15">
        <f>O4*I4</f>
        <v>0</v>
      </c>
      <c r="U4" s="15">
        <f>AVERAGE(T$4:T34)</f>
        <v>0</v>
      </c>
      <c r="V4" s="15">
        <f>MIN(U$4:U34)</f>
        <v>0</v>
      </c>
      <c r="W4" t="b">
        <f>V4&lt;$W$1</f>
        <v>1</v>
      </c>
      <c r="X4">
        <f t="shared" ref="X4:X35" si="2">IF(Q4&lt;ss,1,0)</f>
        <v>1</v>
      </c>
      <c r="Y4">
        <f>SUM($X$4:X4)</f>
        <v>1</v>
      </c>
      <c r="Z4">
        <f>IF(AND(S4=TRUE,Y4&gt;6), 1,0)</f>
        <v>0</v>
      </c>
      <c r="AK4" s="19"/>
      <c r="AL4" s="15"/>
      <c r="AM4" s="4"/>
      <c r="AN4" s="4"/>
      <c r="AO4" s="15"/>
      <c r="AP4" s="15"/>
      <c r="AQ4" s="15"/>
      <c r="AR4" s="15"/>
      <c r="AS4" s="15"/>
      <c r="AT4" s="63"/>
      <c r="AU4" s="4"/>
      <c r="AV4" s="22"/>
      <c r="AW4" s="22"/>
      <c r="AX4" s="22"/>
      <c r="AY4" s="22"/>
      <c r="AZ4">
        <v>1</v>
      </c>
      <c r="BA4" t="e">
        <f ca="1">(WEEKDAY(OFFSET($A$4,0,0,1,1)))</f>
        <v>#VALUE!</v>
      </c>
      <c r="BB4" s="27" t="e">
        <f ca="1">CHOOSE(WEEKDAY(OFFSET($A$4,0,0,1,1)),"Sun","Mon","Tue","Wed","Thu","Fri","Sat")</f>
        <v>#VALUE!</v>
      </c>
      <c r="BC4" s="20" t="e">
        <f ca="1">CHOOSE(WEEKDAY(OFFSET($A$4,3+(AZ4-1)*1440,0,1,1)),"Sun","Mon","Tue","Wed","Thu","Fri","Sat")</f>
        <v>#VALUE!</v>
      </c>
      <c r="BD4" s="31" t="str">
        <f>'Full Data Array'!$A$4</f>
        <v/>
      </c>
      <c r="BE4" s="19">
        <v>0</v>
      </c>
      <c r="BF4" t="e">
        <f ca="1">IF(BE4&lt;$B$5-1/1440,0,OFFSET($N$4,(BE4-$B$4)*1440,0,1,1))</f>
        <v>#VALUE!</v>
      </c>
    </row>
    <row r="5" spans="1:58" ht="12" customHeight="1">
      <c r="A5" s="31" t="str">
        <f>LEFT('Input csv'!A102,10)</f>
        <v/>
      </c>
      <c r="B5" s="19" t="e">
        <f>B4+1/(1440)</f>
        <v>#VALUE!</v>
      </c>
      <c r="C5" s="3">
        <f>'Input csv'!B102</f>
        <v>0</v>
      </c>
      <c r="D5" s="3">
        <f>'Input csv'!C102</f>
        <v>0</v>
      </c>
      <c r="E5" s="3">
        <f>'Input csv'!D102</f>
        <v>0</v>
      </c>
      <c r="F5" s="4">
        <f>'Input csv'!E102</f>
        <v>0</v>
      </c>
      <c r="G5" s="4">
        <f>'Input csv'!F102</f>
        <v>0</v>
      </c>
      <c r="H5" s="5">
        <f>'Input csv'!G102</f>
        <v>0</v>
      </c>
      <c r="I5" s="4">
        <f>'Input csv'!H102</f>
        <v>0</v>
      </c>
      <c r="J5" s="4">
        <f>'Input csv'!I102</f>
        <v>0</v>
      </c>
      <c r="K5" s="4">
        <f>'Input csv'!J102</f>
        <v>0</v>
      </c>
      <c r="L5" s="4">
        <f>'Input csv'!K102</f>
        <v>0</v>
      </c>
      <c r="M5" s="4">
        <f>'Input csv'!L102</f>
        <v>0</v>
      </c>
      <c r="N5" s="63">
        <f t="shared" si="0"/>
        <v>0</v>
      </c>
      <c r="O5" s="13">
        <f>SQRT(ABS(C4-C5+D4-D5+E4-E5))</f>
        <v>0</v>
      </c>
      <c r="P5" s="4">
        <f t="shared" ref="P5:P65" si="3">(J5+K5+L5)</f>
        <v>0</v>
      </c>
      <c r="Q5">
        <f t="shared" si="1"/>
        <v>0</v>
      </c>
      <c r="R5">
        <f>MEDIAN($P$1:P64)</f>
        <v>0</v>
      </c>
      <c r="S5" t="b">
        <f>IF(R5&gt;0.1,FALSE,TRUE)</f>
        <v>1</v>
      </c>
      <c r="T5" s="15">
        <f t="shared" ref="T5:T33" si="4">O5*I5</f>
        <v>0</v>
      </c>
      <c r="U5" s="15">
        <f>AVERAGE(T$4:T35)</f>
        <v>0</v>
      </c>
      <c r="V5" s="15">
        <f>MIN(U$4:U35)</f>
        <v>0</v>
      </c>
      <c r="W5" t="b">
        <f t="shared" ref="W5:W33" si="5">V5&lt;$W$1</f>
        <v>1</v>
      </c>
      <c r="X5">
        <f t="shared" si="2"/>
        <v>1</v>
      </c>
      <c r="Y5">
        <f>SUM($X$4:X5)</f>
        <v>2</v>
      </c>
      <c r="Z5">
        <f t="shared" ref="Z5:Z65" si="6">IF(AND(S5=TRUE,Y5&gt;6), 1,0)</f>
        <v>0</v>
      </c>
      <c r="AK5" s="19"/>
      <c r="AL5" s="15"/>
      <c r="AM5" s="4"/>
      <c r="AN5" s="4"/>
      <c r="AO5" s="15"/>
      <c r="AP5" s="15"/>
      <c r="AQ5" s="15"/>
      <c r="AR5" s="15"/>
      <c r="AS5" s="15"/>
      <c r="AT5" s="63"/>
      <c r="AU5" s="4"/>
      <c r="AV5" s="22"/>
      <c r="AW5" s="22"/>
      <c r="AX5" s="22"/>
      <c r="AY5" s="22"/>
      <c r="AZ5">
        <v>2</v>
      </c>
      <c r="BA5" t="e">
        <f ca="1">IF(BA4=7,1,BA4+1)</f>
        <v>#VALUE!</v>
      </c>
      <c r="BB5" s="27" t="e">
        <f ca="1">CHOOSE(BA5,"Sun","Mon","Tue","Wed","Thu","Fri","Sat")</f>
        <v>#VALUE!</v>
      </c>
      <c r="BC5" s="20" t="str">
        <f ca="1">CHOOSE(WEEKDAY(OFFSET($A$4,3+(AZ5-1)*1440,0,1,1)),"Sun","Mon","Tue","Wed","Thu","Fri","Sat")</f>
        <v>Sat</v>
      </c>
      <c r="BD5" t="e">
        <f ca="1">OFFSET('Full Data Array'!$A$4,(midnight_row-3)+(AZ5-2)*1440,0,1,1)</f>
        <v>#VALUE!</v>
      </c>
      <c r="BE5" s="19">
        <f>BE4+1/1440</f>
        <v>6.9444444444444447E-4</v>
      </c>
      <c r="BF5" t="e">
        <f t="shared" ref="BF5:BF68" ca="1" si="7">IF(BE5&lt;$B$5-1/1440,0,OFFSET($N$4,(BE5-$B$4)*1440,0,1,1))</f>
        <v>#VALUE!</v>
      </c>
    </row>
    <row r="6" spans="1:58" ht="12" customHeight="1">
      <c r="A6" s="31" t="str">
        <f>LEFT('Input csv'!A103,10)</f>
        <v/>
      </c>
      <c r="B6" s="19" t="e">
        <f t="shared" ref="B6:B65" si="8">B5+1/(1440)</f>
        <v>#VALUE!</v>
      </c>
      <c r="C6" s="3">
        <f>'Input csv'!B103</f>
        <v>0</v>
      </c>
      <c r="D6" s="3">
        <f>'Input csv'!C103</f>
        <v>0</v>
      </c>
      <c r="E6" s="3">
        <f>'Input csv'!D103</f>
        <v>0</v>
      </c>
      <c r="F6" s="4">
        <f>'Input csv'!E103</f>
        <v>0</v>
      </c>
      <c r="G6" s="4">
        <f>'Input csv'!F103</f>
        <v>0</v>
      </c>
      <c r="H6" s="5">
        <f>'Input csv'!G103</f>
        <v>0</v>
      </c>
      <c r="I6" s="4">
        <f>'Input csv'!H103</f>
        <v>0</v>
      </c>
      <c r="J6" s="4">
        <f>'Input csv'!I103</f>
        <v>0</v>
      </c>
      <c r="K6" s="4">
        <f>'Input csv'!J103</f>
        <v>0</v>
      </c>
      <c r="L6" s="4">
        <f>'Input csv'!K103</f>
        <v>0</v>
      </c>
      <c r="M6" s="4">
        <f>'Input csv'!L103</f>
        <v>0</v>
      </c>
      <c r="N6" s="63">
        <f t="shared" si="0"/>
        <v>0</v>
      </c>
      <c r="O6" s="13">
        <f t="shared" ref="O6:O16" si="9">SQRT(ABS(C5-C6+D5-D6+E5-E6))</f>
        <v>0</v>
      </c>
      <c r="P6" s="4">
        <f t="shared" si="3"/>
        <v>0</v>
      </c>
      <c r="Q6">
        <f t="shared" si="1"/>
        <v>0</v>
      </c>
      <c r="R6">
        <f>MEDIAN($P$1:P65)</f>
        <v>0</v>
      </c>
      <c r="S6" t="b">
        <f t="shared" ref="S6:S65" si="10">IF(R6&gt;0.1,FALSE,TRUE)</f>
        <v>1</v>
      </c>
      <c r="T6" s="15">
        <f t="shared" si="4"/>
        <v>0</v>
      </c>
      <c r="U6" s="15">
        <f>AVERAGE(T$4:T36)</f>
        <v>0</v>
      </c>
      <c r="V6" s="15">
        <f>MIN(U$4:U36)</f>
        <v>0</v>
      </c>
      <c r="W6" t="b">
        <f t="shared" si="5"/>
        <v>1</v>
      </c>
      <c r="X6">
        <f t="shared" si="2"/>
        <v>1</v>
      </c>
      <c r="Y6">
        <f>SUM($X$4:X6)</f>
        <v>3</v>
      </c>
      <c r="Z6">
        <f t="shared" si="6"/>
        <v>0</v>
      </c>
      <c r="AK6" s="19"/>
      <c r="AL6" s="15"/>
      <c r="AM6" s="4"/>
      <c r="AN6" s="4"/>
      <c r="AO6" s="15"/>
      <c r="AP6" s="15"/>
      <c r="AQ6" s="15"/>
      <c r="AR6" s="15"/>
      <c r="AS6" s="15"/>
      <c r="AT6" s="63"/>
      <c r="AU6" s="4"/>
      <c r="AV6" s="22"/>
      <c r="AW6" s="22"/>
      <c r="AX6" s="22"/>
      <c r="AY6" s="22"/>
      <c r="BB6" s="27"/>
      <c r="BE6" s="19">
        <f t="shared" ref="BE6:BE69" si="11">BE5+1/1440</f>
        <v>1.3888888888888889E-3</v>
      </c>
      <c r="BF6" t="e">
        <f t="shared" ca="1" si="7"/>
        <v>#VALUE!</v>
      </c>
    </row>
    <row r="7" spans="1:58" ht="12" customHeight="1">
      <c r="A7" s="31" t="str">
        <f>LEFT('Input csv'!A104,10)</f>
        <v/>
      </c>
      <c r="B7" s="19" t="e">
        <f t="shared" si="8"/>
        <v>#VALUE!</v>
      </c>
      <c r="C7" s="3">
        <f>'Input csv'!B104</f>
        <v>0</v>
      </c>
      <c r="D7" s="3">
        <f>'Input csv'!C104</f>
        <v>0</v>
      </c>
      <c r="E7" s="3">
        <f>'Input csv'!D104</f>
        <v>0</v>
      </c>
      <c r="F7" s="4">
        <f>'Input csv'!E104</f>
        <v>0</v>
      </c>
      <c r="G7" s="4">
        <f>'Input csv'!F104</f>
        <v>0</v>
      </c>
      <c r="H7" s="5">
        <f>'Input csv'!G104</f>
        <v>0</v>
      </c>
      <c r="I7" s="4">
        <f>'Input csv'!H104</f>
        <v>0</v>
      </c>
      <c r="J7" s="4">
        <f>'Input csv'!I104</f>
        <v>0</v>
      </c>
      <c r="K7" s="4">
        <f>'Input csv'!J104</f>
        <v>0</v>
      </c>
      <c r="L7" s="4">
        <f>'Input csv'!K104</f>
        <v>0</v>
      </c>
      <c r="M7" s="4">
        <f>'Input csv'!L104</f>
        <v>0</v>
      </c>
      <c r="N7" s="63">
        <f t="shared" si="0"/>
        <v>0</v>
      </c>
      <c r="O7" s="13">
        <f t="shared" si="9"/>
        <v>0</v>
      </c>
      <c r="P7" s="4">
        <f t="shared" si="3"/>
        <v>0</v>
      </c>
      <c r="Q7">
        <f t="shared" si="1"/>
        <v>0</v>
      </c>
      <c r="R7">
        <f>MEDIAN($P$1:P66)</f>
        <v>0</v>
      </c>
      <c r="S7" t="b">
        <f t="shared" si="10"/>
        <v>1</v>
      </c>
      <c r="T7" s="15">
        <f t="shared" si="4"/>
        <v>0</v>
      </c>
      <c r="U7" s="15">
        <f>AVERAGE(T$4:T37)</f>
        <v>0</v>
      </c>
      <c r="V7" s="15">
        <f>MIN(U$4:U37)</f>
        <v>0</v>
      </c>
      <c r="W7" t="b">
        <f t="shared" si="5"/>
        <v>1</v>
      </c>
      <c r="X7">
        <f t="shared" si="2"/>
        <v>1</v>
      </c>
      <c r="Y7">
        <f>SUM($X$4:X7)</f>
        <v>4</v>
      </c>
      <c r="Z7">
        <f t="shared" si="6"/>
        <v>0</v>
      </c>
      <c r="AK7" s="19"/>
      <c r="AL7" s="4"/>
      <c r="AM7" s="4"/>
      <c r="AN7" s="4"/>
      <c r="AO7" s="15"/>
      <c r="AP7" s="15"/>
      <c r="AQ7" s="15"/>
      <c r="AR7" s="15"/>
      <c r="AS7" s="15"/>
      <c r="AT7" s="5"/>
      <c r="AU7" s="4"/>
      <c r="AV7" s="22"/>
      <c r="AW7" s="22"/>
      <c r="AX7" s="22"/>
      <c r="AY7" s="22"/>
      <c r="BB7" s="27"/>
      <c r="BE7" s="19">
        <f t="shared" si="11"/>
        <v>2.0833333333333333E-3</v>
      </c>
      <c r="BF7" t="e">
        <f t="shared" ca="1" si="7"/>
        <v>#VALUE!</v>
      </c>
    </row>
    <row r="8" spans="1:58" ht="12" customHeight="1">
      <c r="A8" s="31" t="str">
        <f>LEFT('Input csv'!A105,10)</f>
        <v/>
      </c>
      <c r="B8" s="19" t="e">
        <f t="shared" si="8"/>
        <v>#VALUE!</v>
      </c>
      <c r="C8" s="3">
        <f>'Input csv'!B105</f>
        <v>0</v>
      </c>
      <c r="D8" s="3">
        <f>'Input csv'!C105</f>
        <v>0</v>
      </c>
      <c r="E8" s="3">
        <f>'Input csv'!D105</f>
        <v>0</v>
      </c>
      <c r="F8" s="4">
        <f>'Input csv'!E105</f>
        <v>0</v>
      </c>
      <c r="G8" s="4">
        <f>'Input csv'!F105</f>
        <v>0</v>
      </c>
      <c r="H8" s="5">
        <f>'Input csv'!G105</f>
        <v>0</v>
      </c>
      <c r="I8" s="4">
        <f>'Input csv'!H105</f>
        <v>0</v>
      </c>
      <c r="J8" s="4">
        <f>'Input csv'!I105</f>
        <v>0</v>
      </c>
      <c r="K8" s="4">
        <f>'Input csv'!J105</f>
        <v>0</v>
      </c>
      <c r="L8" s="4">
        <f>'Input csv'!K105</f>
        <v>0</v>
      </c>
      <c r="M8" s="4">
        <f>'Input csv'!L105</f>
        <v>0</v>
      </c>
      <c r="N8" s="63">
        <f t="shared" si="0"/>
        <v>0</v>
      </c>
      <c r="O8" s="13">
        <f t="shared" si="9"/>
        <v>0</v>
      </c>
      <c r="P8" s="4">
        <f t="shared" si="3"/>
        <v>0</v>
      </c>
      <c r="Q8">
        <f t="shared" si="1"/>
        <v>0</v>
      </c>
      <c r="R8">
        <f>MEDIAN($P$1:P67)</f>
        <v>0</v>
      </c>
      <c r="S8" t="b">
        <f t="shared" si="10"/>
        <v>1</v>
      </c>
      <c r="T8" s="15">
        <f t="shared" si="4"/>
        <v>0</v>
      </c>
      <c r="U8" s="15">
        <f>AVERAGE(T$4:T38)</f>
        <v>0</v>
      </c>
      <c r="V8" s="15">
        <f>MIN(U$4:U38)</f>
        <v>0</v>
      </c>
      <c r="W8" t="b">
        <f t="shared" si="5"/>
        <v>1</v>
      </c>
      <c r="X8">
        <f t="shared" si="2"/>
        <v>1</v>
      </c>
      <c r="Y8">
        <f>SUM($X$4:X8)</f>
        <v>5</v>
      </c>
      <c r="Z8">
        <f t="shared" si="6"/>
        <v>0</v>
      </c>
      <c r="AK8" s="19"/>
      <c r="AM8" s="4"/>
      <c r="AN8" s="4"/>
      <c r="AO8" s="4"/>
      <c r="AP8" s="15"/>
      <c r="AQ8" s="15"/>
      <c r="AR8" s="15"/>
      <c r="AS8" s="15"/>
      <c r="AT8" s="5"/>
      <c r="AU8" s="4"/>
      <c r="AV8" s="22"/>
      <c r="AW8" s="22"/>
      <c r="AX8" s="22"/>
      <c r="AY8" s="22"/>
      <c r="BB8" s="27"/>
      <c r="BE8" s="19">
        <f t="shared" si="11"/>
        <v>2.7777777777777779E-3</v>
      </c>
      <c r="BF8" t="e">
        <f t="shared" ca="1" si="7"/>
        <v>#VALUE!</v>
      </c>
    </row>
    <row r="9" spans="1:58" ht="12" customHeight="1">
      <c r="A9" s="31" t="str">
        <f>LEFT('Input csv'!A106,10)</f>
        <v/>
      </c>
      <c r="B9" s="19" t="e">
        <f t="shared" si="8"/>
        <v>#VALUE!</v>
      </c>
      <c r="C9" s="3">
        <f>'Input csv'!B106</f>
        <v>0</v>
      </c>
      <c r="D9" s="3">
        <f>'Input csv'!C106</f>
        <v>0</v>
      </c>
      <c r="E9" s="3">
        <f>'Input csv'!D106</f>
        <v>0</v>
      </c>
      <c r="F9" s="4">
        <f>'Input csv'!E106</f>
        <v>0</v>
      </c>
      <c r="G9" s="4">
        <f>'Input csv'!F106</f>
        <v>0</v>
      </c>
      <c r="H9" s="5">
        <f>'Input csv'!G106</f>
        <v>0</v>
      </c>
      <c r="I9" s="4">
        <f>'Input csv'!H106</f>
        <v>0</v>
      </c>
      <c r="J9" s="4">
        <f>'Input csv'!I106</f>
        <v>0</v>
      </c>
      <c r="K9" s="4">
        <f>'Input csv'!J106</f>
        <v>0</v>
      </c>
      <c r="L9" s="4">
        <f>'Input csv'!K106</f>
        <v>0</v>
      </c>
      <c r="M9" s="4">
        <f>'Input csv'!L106</f>
        <v>0</v>
      </c>
      <c r="N9" s="63">
        <f t="shared" si="0"/>
        <v>0</v>
      </c>
      <c r="O9" s="13">
        <f>SQRT(ABS(C8-C9+D8-D9+E8-E9))</f>
        <v>0</v>
      </c>
      <c r="P9" s="4">
        <f t="shared" si="3"/>
        <v>0</v>
      </c>
      <c r="Q9">
        <f t="shared" si="1"/>
        <v>0</v>
      </c>
      <c r="R9">
        <f>MEDIAN($P$1:P68)</f>
        <v>0</v>
      </c>
      <c r="S9" t="b">
        <f t="shared" si="10"/>
        <v>1</v>
      </c>
      <c r="T9" s="15">
        <f t="shared" si="4"/>
        <v>0</v>
      </c>
      <c r="U9" s="15">
        <f>AVERAGE(T$4:T39)</f>
        <v>0</v>
      </c>
      <c r="V9" s="15">
        <f>MIN(U$4:U39)</f>
        <v>0</v>
      </c>
      <c r="W9" t="b">
        <f t="shared" si="5"/>
        <v>1</v>
      </c>
      <c r="X9">
        <f t="shared" si="2"/>
        <v>1</v>
      </c>
      <c r="Y9">
        <f>SUM($X$4:X9)</f>
        <v>6</v>
      </c>
      <c r="Z9">
        <f t="shared" si="6"/>
        <v>0</v>
      </c>
      <c r="AK9" s="19"/>
      <c r="AM9" s="4"/>
      <c r="AN9" s="4"/>
      <c r="AO9" s="4"/>
      <c r="AP9" s="15"/>
      <c r="AQ9" s="15"/>
      <c r="AR9" s="15"/>
      <c r="AS9" s="15"/>
      <c r="AT9" s="5"/>
      <c r="AU9" s="4"/>
      <c r="AV9" s="22"/>
      <c r="AW9" s="22"/>
      <c r="AX9" s="22"/>
      <c r="AY9" s="22"/>
      <c r="BB9" s="27"/>
      <c r="BE9" s="19">
        <f t="shared" si="11"/>
        <v>3.4722222222222225E-3</v>
      </c>
      <c r="BF9" t="e">
        <f t="shared" ca="1" si="7"/>
        <v>#VALUE!</v>
      </c>
    </row>
    <row r="10" spans="1:58" ht="12" customHeight="1">
      <c r="A10" s="31" t="str">
        <f>LEFT('Input csv'!A107,10)</f>
        <v/>
      </c>
      <c r="B10" s="19" t="e">
        <f t="shared" si="8"/>
        <v>#VALUE!</v>
      </c>
      <c r="C10" s="3">
        <f>'Input csv'!B107</f>
        <v>0</v>
      </c>
      <c r="D10" s="3">
        <f>'Input csv'!C107</f>
        <v>0</v>
      </c>
      <c r="E10" s="3">
        <f>'Input csv'!D107</f>
        <v>0</v>
      </c>
      <c r="F10" s="4">
        <f>'Input csv'!E107</f>
        <v>0</v>
      </c>
      <c r="G10" s="4">
        <f>'Input csv'!F107</f>
        <v>0</v>
      </c>
      <c r="H10" s="5">
        <f>'Input csv'!G107</f>
        <v>0</v>
      </c>
      <c r="I10" s="4">
        <f>'Input csv'!H107</f>
        <v>0</v>
      </c>
      <c r="J10" s="4">
        <f>'Input csv'!I107</f>
        <v>0</v>
      </c>
      <c r="K10" s="4">
        <f>'Input csv'!J107</f>
        <v>0</v>
      </c>
      <c r="L10" s="4">
        <f>'Input csv'!K107</f>
        <v>0</v>
      </c>
      <c r="M10" s="4">
        <f>'Input csv'!L107</f>
        <v>0</v>
      </c>
      <c r="N10" s="63">
        <f t="shared" si="0"/>
        <v>0</v>
      </c>
      <c r="O10" s="13">
        <f t="shared" si="9"/>
        <v>0</v>
      </c>
      <c r="P10" s="4">
        <f t="shared" si="3"/>
        <v>0</v>
      </c>
      <c r="Q10">
        <f t="shared" si="1"/>
        <v>0</v>
      </c>
      <c r="R10">
        <f>MEDIAN($P$1:P69)</f>
        <v>0</v>
      </c>
      <c r="S10" t="b">
        <f t="shared" si="10"/>
        <v>1</v>
      </c>
      <c r="T10" s="15">
        <f t="shared" si="4"/>
        <v>0</v>
      </c>
      <c r="U10" s="15">
        <f>AVERAGE(T$4:T40)</f>
        <v>0</v>
      </c>
      <c r="V10" s="15">
        <f>MIN(U$4:U40)</f>
        <v>0</v>
      </c>
      <c r="W10" t="b">
        <f t="shared" si="5"/>
        <v>1</v>
      </c>
      <c r="X10">
        <f t="shared" si="2"/>
        <v>1</v>
      </c>
      <c r="Y10">
        <f>SUM($X$4:X10)</f>
        <v>7</v>
      </c>
      <c r="Z10">
        <f t="shared" si="6"/>
        <v>1</v>
      </c>
      <c r="AK10" s="19"/>
      <c r="AM10" s="4"/>
      <c r="AN10" s="4"/>
      <c r="AO10" s="4"/>
      <c r="AP10" s="15"/>
      <c r="AQ10" s="15"/>
      <c r="AR10" s="15"/>
      <c r="AS10" s="15"/>
      <c r="AT10" s="5"/>
      <c r="AU10" s="4"/>
      <c r="AV10" s="22"/>
      <c r="AW10" s="22"/>
      <c r="AX10" s="22"/>
      <c r="AY10" s="22"/>
      <c r="BE10" s="19">
        <f t="shared" si="11"/>
        <v>4.1666666666666666E-3</v>
      </c>
      <c r="BF10" t="e">
        <f t="shared" ca="1" si="7"/>
        <v>#VALUE!</v>
      </c>
    </row>
    <row r="11" spans="1:58" ht="12" customHeight="1">
      <c r="A11" s="31" t="str">
        <f>LEFT('Input csv'!A108,10)</f>
        <v/>
      </c>
      <c r="B11" s="19" t="e">
        <f t="shared" si="8"/>
        <v>#VALUE!</v>
      </c>
      <c r="C11" s="3">
        <f>'Input csv'!B108</f>
        <v>0</v>
      </c>
      <c r="D11" s="3">
        <f>'Input csv'!C108</f>
        <v>0</v>
      </c>
      <c r="E11" s="3">
        <f>'Input csv'!D108</f>
        <v>0</v>
      </c>
      <c r="F11" s="4">
        <f>'Input csv'!E108</f>
        <v>0</v>
      </c>
      <c r="G11" s="4">
        <f>'Input csv'!F108</f>
        <v>0</v>
      </c>
      <c r="H11" s="5">
        <f>'Input csv'!G108</f>
        <v>0</v>
      </c>
      <c r="I11" s="4">
        <f>'Input csv'!H108</f>
        <v>0</v>
      </c>
      <c r="J11" s="4">
        <f>'Input csv'!I108</f>
        <v>0</v>
      </c>
      <c r="K11" s="4">
        <f>'Input csv'!J108</f>
        <v>0</v>
      </c>
      <c r="L11" s="4">
        <f>'Input csv'!K108</f>
        <v>0</v>
      </c>
      <c r="M11" s="4">
        <f>'Input csv'!L108</f>
        <v>0</v>
      </c>
      <c r="N11" s="63">
        <f t="shared" si="0"/>
        <v>0</v>
      </c>
      <c r="O11" s="13">
        <f t="shared" si="9"/>
        <v>0</v>
      </c>
      <c r="P11" s="4">
        <f t="shared" si="3"/>
        <v>0</v>
      </c>
      <c r="Q11">
        <f t="shared" si="1"/>
        <v>0</v>
      </c>
      <c r="R11">
        <f>MEDIAN($P$1:P70)</f>
        <v>0</v>
      </c>
      <c r="S11" t="b">
        <f t="shared" si="10"/>
        <v>1</v>
      </c>
      <c r="T11" s="15">
        <f t="shared" si="4"/>
        <v>0</v>
      </c>
      <c r="U11" s="15">
        <f>AVERAGE(T$4:T41)</f>
        <v>0</v>
      </c>
      <c r="V11" s="15">
        <f>MIN(U$4:U41)</f>
        <v>0</v>
      </c>
      <c r="W11" t="b">
        <f t="shared" si="5"/>
        <v>1</v>
      </c>
      <c r="X11">
        <f t="shared" si="2"/>
        <v>1</v>
      </c>
      <c r="Y11">
        <f>SUM($X$4:X11)</f>
        <v>8</v>
      </c>
      <c r="Z11">
        <f t="shared" si="6"/>
        <v>1</v>
      </c>
      <c r="AK11" s="19"/>
      <c r="AM11" s="4"/>
      <c r="AN11" s="4"/>
      <c r="AO11" s="4"/>
      <c r="AP11" s="15"/>
      <c r="AQ11" s="15"/>
      <c r="AR11" s="15"/>
      <c r="AS11" s="15"/>
      <c r="AT11" s="5"/>
      <c r="AU11" s="4"/>
      <c r="AV11" s="22"/>
      <c r="AW11" s="22"/>
      <c r="AX11" s="22"/>
      <c r="AY11" s="22"/>
      <c r="BE11" s="19">
        <f t="shared" si="11"/>
        <v>4.8611111111111112E-3</v>
      </c>
      <c r="BF11" t="e">
        <f t="shared" ca="1" si="7"/>
        <v>#VALUE!</v>
      </c>
    </row>
    <row r="12" spans="1:58" ht="12" customHeight="1">
      <c r="A12" s="31" t="str">
        <f>LEFT('Input csv'!A109,10)</f>
        <v/>
      </c>
      <c r="B12" s="19" t="e">
        <f t="shared" si="8"/>
        <v>#VALUE!</v>
      </c>
      <c r="C12" s="3">
        <f>'Input csv'!B109</f>
        <v>0</v>
      </c>
      <c r="D12" s="3">
        <f>'Input csv'!C109</f>
        <v>0</v>
      </c>
      <c r="E12" s="3">
        <f>'Input csv'!D109</f>
        <v>0</v>
      </c>
      <c r="F12" s="4">
        <f>'Input csv'!E109</f>
        <v>0</v>
      </c>
      <c r="G12" s="4">
        <f>'Input csv'!F109</f>
        <v>0</v>
      </c>
      <c r="H12" s="5">
        <f>'Input csv'!G109</f>
        <v>0</v>
      </c>
      <c r="I12" s="4">
        <f>'Input csv'!H109</f>
        <v>0</v>
      </c>
      <c r="J12" s="4">
        <f>'Input csv'!I109</f>
        <v>0</v>
      </c>
      <c r="K12" s="4">
        <f>'Input csv'!J109</f>
        <v>0</v>
      </c>
      <c r="L12" s="4">
        <f>'Input csv'!K109</f>
        <v>0</v>
      </c>
      <c r="M12" s="4">
        <f>'Input csv'!L109</f>
        <v>0</v>
      </c>
      <c r="N12" s="63">
        <f t="shared" si="0"/>
        <v>0</v>
      </c>
      <c r="O12" s="13">
        <f t="shared" si="9"/>
        <v>0</v>
      </c>
      <c r="P12" s="4">
        <f t="shared" si="3"/>
        <v>0</v>
      </c>
      <c r="Q12">
        <f t="shared" si="1"/>
        <v>0</v>
      </c>
      <c r="R12">
        <f>MEDIAN($P$1:P71)</f>
        <v>0</v>
      </c>
      <c r="S12" t="b">
        <f t="shared" si="10"/>
        <v>1</v>
      </c>
      <c r="T12" s="15">
        <f t="shared" si="4"/>
        <v>0</v>
      </c>
      <c r="U12" s="15">
        <f>AVERAGE(T$4:T42)</f>
        <v>0</v>
      </c>
      <c r="V12" s="15">
        <f>MIN(U$4:U42)</f>
        <v>0</v>
      </c>
      <c r="W12" t="b">
        <f t="shared" si="5"/>
        <v>1</v>
      </c>
      <c r="X12">
        <f t="shared" si="2"/>
        <v>1</v>
      </c>
      <c r="Y12">
        <f>SUM($X$4:X12)</f>
        <v>9</v>
      </c>
      <c r="Z12">
        <f t="shared" si="6"/>
        <v>1</v>
      </c>
      <c r="AK12" s="19"/>
      <c r="AM12" s="4"/>
      <c r="AN12" s="4"/>
      <c r="AO12" s="4"/>
      <c r="AP12" s="15"/>
      <c r="AQ12" s="15"/>
      <c r="AR12" s="15"/>
      <c r="AS12" s="15"/>
      <c r="AT12" s="5"/>
      <c r="AU12" s="4"/>
      <c r="AV12" s="22"/>
      <c r="AW12" s="22"/>
      <c r="AX12" s="22"/>
      <c r="AY12" s="22"/>
      <c r="BE12" s="19">
        <f t="shared" si="11"/>
        <v>5.5555555555555558E-3</v>
      </c>
      <c r="BF12" t="e">
        <f t="shared" ca="1" si="7"/>
        <v>#VALUE!</v>
      </c>
    </row>
    <row r="13" spans="1:58" ht="12" customHeight="1">
      <c r="A13" s="31" t="str">
        <f>LEFT('Input csv'!A110,10)</f>
        <v/>
      </c>
      <c r="B13" s="19" t="e">
        <f t="shared" si="8"/>
        <v>#VALUE!</v>
      </c>
      <c r="C13" s="3">
        <f>'Input csv'!B110</f>
        <v>0</v>
      </c>
      <c r="D13" s="3">
        <f>'Input csv'!C110</f>
        <v>0</v>
      </c>
      <c r="E13" s="3">
        <f>'Input csv'!D110</f>
        <v>0</v>
      </c>
      <c r="F13" s="4">
        <f>'Input csv'!E110</f>
        <v>0</v>
      </c>
      <c r="G13" s="4">
        <f>'Input csv'!F110</f>
        <v>0</v>
      </c>
      <c r="H13" s="5">
        <f>'Input csv'!G110</f>
        <v>0</v>
      </c>
      <c r="I13" s="4">
        <f>'Input csv'!H110</f>
        <v>0</v>
      </c>
      <c r="J13" s="4">
        <f>'Input csv'!I110</f>
        <v>0</v>
      </c>
      <c r="K13" s="4">
        <f>'Input csv'!J110</f>
        <v>0</v>
      </c>
      <c r="L13" s="4">
        <f>'Input csv'!K110</f>
        <v>0</v>
      </c>
      <c r="M13" s="4">
        <f>'Input csv'!L110</f>
        <v>0</v>
      </c>
      <c r="N13" s="63">
        <f t="shared" si="0"/>
        <v>0</v>
      </c>
      <c r="O13" s="13">
        <f>SQRT(ABS(C12-C13+D12-D13+E12-E13))</f>
        <v>0</v>
      </c>
      <c r="P13" s="4">
        <f t="shared" si="3"/>
        <v>0</v>
      </c>
      <c r="Q13">
        <f t="shared" si="1"/>
        <v>0</v>
      </c>
      <c r="R13">
        <f>MEDIAN($P$1:P72)</f>
        <v>0</v>
      </c>
      <c r="S13" t="b">
        <f t="shared" si="10"/>
        <v>1</v>
      </c>
      <c r="T13" s="15">
        <f t="shared" si="4"/>
        <v>0</v>
      </c>
      <c r="U13" s="15">
        <f>AVERAGE(T$4:T43)</f>
        <v>0</v>
      </c>
      <c r="V13" s="15">
        <f>MIN(U$4:U43)</f>
        <v>0</v>
      </c>
      <c r="W13" t="b">
        <f t="shared" si="5"/>
        <v>1</v>
      </c>
      <c r="X13">
        <f t="shared" si="2"/>
        <v>1</v>
      </c>
      <c r="Y13">
        <f>SUM($X$4:X13)</f>
        <v>10</v>
      </c>
      <c r="Z13">
        <f t="shared" si="6"/>
        <v>1</v>
      </c>
      <c r="AK13" s="19"/>
      <c r="AM13" s="4"/>
      <c r="AN13" s="4"/>
      <c r="AO13" s="4"/>
      <c r="AP13" s="15"/>
      <c r="AQ13" s="15"/>
      <c r="AR13" s="15"/>
      <c r="AS13" s="15"/>
      <c r="AT13" s="5"/>
      <c r="AU13" s="4"/>
      <c r="AV13" s="22"/>
      <c r="AW13" s="22"/>
      <c r="AX13" s="22"/>
      <c r="AY13" s="22"/>
      <c r="BE13" s="19">
        <f t="shared" si="11"/>
        <v>6.2500000000000003E-3</v>
      </c>
      <c r="BF13" t="e">
        <f t="shared" ca="1" si="7"/>
        <v>#VALUE!</v>
      </c>
    </row>
    <row r="14" spans="1:58" ht="12" customHeight="1">
      <c r="A14" s="31" t="str">
        <f>LEFT('Input csv'!A111,10)</f>
        <v/>
      </c>
      <c r="B14" s="19" t="e">
        <f t="shared" si="8"/>
        <v>#VALUE!</v>
      </c>
      <c r="C14" s="3">
        <f>'Input csv'!B111</f>
        <v>0</v>
      </c>
      <c r="D14" s="3">
        <f>'Input csv'!C111</f>
        <v>0</v>
      </c>
      <c r="E14" s="3">
        <f>'Input csv'!D111</f>
        <v>0</v>
      </c>
      <c r="F14" s="4">
        <f>'Input csv'!E111</f>
        <v>0</v>
      </c>
      <c r="G14" s="4">
        <f>'Input csv'!F111</f>
        <v>0</v>
      </c>
      <c r="H14" s="5">
        <f>'Input csv'!G111</f>
        <v>0</v>
      </c>
      <c r="I14" s="4">
        <f>'Input csv'!H111</f>
        <v>0</v>
      </c>
      <c r="J14" s="4">
        <f>'Input csv'!I111</f>
        <v>0</v>
      </c>
      <c r="K14" s="4">
        <f>'Input csv'!J111</f>
        <v>0</v>
      </c>
      <c r="L14" s="4">
        <f>'Input csv'!K111</f>
        <v>0</v>
      </c>
      <c r="M14" s="4">
        <f>'Input csv'!L111</f>
        <v>0</v>
      </c>
      <c r="N14" s="63">
        <f t="shared" si="0"/>
        <v>0</v>
      </c>
      <c r="O14" s="13">
        <f t="shared" si="9"/>
        <v>0</v>
      </c>
      <c r="P14" s="4">
        <f t="shared" si="3"/>
        <v>0</v>
      </c>
      <c r="Q14">
        <f t="shared" si="1"/>
        <v>0</v>
      </c>
      <c r="R14">
        <f>MEDIAN($P$1:P73)</f>
        <v>0</v>
      </c>
      <c r="S14" t="b">
        <f t="shared" si="10"/>
        <v>1</v>
      </c>
      <c r="T14" s="15">
        <f t="shared" si="4"/>
        <v>0</v>
      </c>
      <c r="U14" s="15">
        <f>AVERAGE(T$4:T44)</f>
        <v>0</v>
      </c>
      <c r="V14" s="15">
        <f>MIN(U$4:U44)</f>
        <v>0</v>
      </c>
      <c r="W14" t="b">
        <f t="shared" si="5"/>
        <v>1</v>
      </c>
      <c r="X14">
        <f t="shared" si="2"/>
        <v>1</v>
      </c>
      <c r="Y14">
        <f>SUM($X$4:X14)</f>
        <v>11</v>
      </c>
      <c r="Z14">
        <f t="shared" si="6"/>
        <v>1</v>
      </c>
      <c r="AK14" s="19"/>
      <c r="AM14" s="4"/>
      <c r="AN14" s="4"/>
      <c r="AO14" s="4"/>
      <c r="AP14" s="15"/>
      <c r="AQ14" s="15"/>
      <c r="AR14" s="15"/>
      <c r="AS14" s="15"/>
      <c r="AT14" s="5"/>
      <c r="AU14" s="4"/>
      <c r="AV14" s="22"/>
      <c r="AW14" s="22"/>
      <c r="AX14" s="22"/>
      <c r="AY14" s="22"/>
      <c r="BE14" s="19">
        <f t="shared" si="11"/>
        <v>6.9444444444444449E-3</v>
      </c>
      <c r="BF14" t="e">
        <f t="shared" ca="1" si="7"/>
        <v>#VALUE!</v>
      </c>
    </row>
    <row r="15" spans="1:58" ht="12" customHeight="1">
      <c r="A15" s="31" t="str">
        <f>LEFT('Input csv'!A112,10)</f>
        <v/>
      </c>
      <c r="B15" s="19" t="e">
        <f t="shared" si="8"/>
        <v>#VALUE!</v>
      </c>
      <c r="C15" s="3">
        <f>'Input csv'!B112</f>
        <v>0</v>
      </c>
      <c r="D15" s="3">
        <f>'Input csv'!C112</f>
        <v>0</v>
      </c>
      <c r="E15" s="3">
        <f>'Input csv'!D112</f>
        <v>0</v>
      </c>
      <c r="F15" s="4">
        <f>'Input csv'!E112</f>
        <v>0</v>
      </c>
      <c r="G15" s="4">
        <f>'Input csv'!F112</f>
        <v>0</v>
      </c>
      <c r="H15" s="5">
        <f>'Input csv'!G112</f>
        <v>0</v>
      </c>
      <c r="I15" s="4">
        <f>'Input csv'!H112</f>
        <v>0</v>
      </c>
      <c r="J15" s="4">
        <f>'Input csv'!I112</f>
        <v>0</v>
      </c>
      <c r="K15" s="4">
        <f>'Input csv'!J112</f>
        <v>0</v>
      </c>
      <c r="L15" s="4">
        <f>'Input csv'!K112</f>
        <v>0</v>
      </c>
      <c r="M15" s="4">
        <f>'Input csv'!L112</f>
        <v>0</v>
      </c>
      <c r="N15" s="63">
        <f t="shared" si="0"/>
        <v>0</v>
      </c>
      <c r="O15" s="13">
        <f t="shared" si="9"/>
        <v>0</v>
      </c>
      <c r="P15" s="4">
        <f t="shared" si="3"/>
        <v>0</v>
      </c>
      <c r="Q15">
        <f t="shared" si="1"/>
        <v>0</v>
      </c>
      <c r="R15">
        <f>MEDIAN($P$1:P74)</f>
        <v>0</v>
      </c>
      <c r="S15" t="b">
        <f t="shared" si="10"/>
        <v>1</v>
      </c>
      <c r="T15" s="15">
        <f t="shared" si="4"/>
        <v>0</v>
      </c>
      <c r="U15" s="15">
        <f>AVERAGE(T$4:T45)</f>
        <v>0</v>
      </c>
      <c r="V15" s="15">
        <f>MIN(U$4:U45)</f>
        <v>0</v>
      </c>
      <c r="W15" t="b">
        <f t="shared" si="5"/>
        <v>1</v>
      </c>
      <c r="X15">
        <f t="shared" si="2"/>
        <v>1</v>
      </c>
      <c r="Y15">
        <f>SUM(X4:X15)</f>
        <v>12</v>
      </c>
      <c r="Z15">
        <f t="shared" si="6"/>
        <v>1</v>
      </c>
      <c r="AK15" s="19"/>
      <c r="AM15" s="4"/>
      <c r="AN15" s="4"/>
      <c r="AO15" s="4"/>
      <c r="AP15" s="15"/>
      <c r="AQ15" s="15"/>
      <c r="AR15" s="15"/>
      <c r="AS15" s="15"/>
      <c r="AT15" s="5"/>
      <c r="AU15" s="4"/>
      <c r="AV15" s="22"/>
      <c r="AW15" s="22"/>
      <c r="AX15" s="22"/>
      <c r="AY15" s="22"/>
      <c r="BE15" s="19">
        <f t="shared" si="11"/>
        <v>7.6388888888888895E-3</v>
      </c>
      <c r="BF15" t="e">
        <f t="shared" ca="1" si="7"/>
        <v>#VALUE!</v>
      </c>
    </row>
    <row r="16" spans="1:58" ht="12" customHeight="1">
      <c r="A16" s="31" t="str">
        <f>LEFT('Input csv'!A113,10)</f>
        <v/>
      </c>
      <c r="B16" s="19" t="e">
        <f t="shared" si="8"/>
        <v>#VALUE!</v>
      </c>
      <c r="C16" s="3">
        <f>'Input csv'!B113</f>
        <v>0</v>
      </c>
      <c r="D16" s="3">
        <f>'Input csv'!C113</f>
        <v>0</v>
      </c>
      <c r="E16" s="3">
        <f>'Input csv'!D113</f>
        <v>0</v>
      </c>
      <c r="F16" s="4">
        <f>'Input csv'!E113</f>
        <v>0</v>
      </c>
      <c r="G16" s="4">
        <f>'Input csv'!F113</f>
        <v>0</v>
      </c>
      <c r="H16" s="5">
        <f>'Input csv'!G113</f>
        <v>0</v>
      </c>
      <c r="I16" s="4">
        <f>'Input csv'!H113</f>
        <v>0</v>
      </c>
      <c r="J16" s="4">
        <f>'Input csv'!I113</f>
        <v>0</v>
      </c>
      <c r="K16" s="4">
        <f>'Input csv'!J113</f>
        <v>0</v>
      </c>
      <c r="L16" s="4">
        <f>'Input csv'!K113</f>
        <v>0</v>
      </c>
      <c r="M16" s="4">
        <f>'Input csv'!L113</f>
        <v>0</v>
      </c>
      <c r="N16" s="63">
        <f t="shared" si="0"/>
        <v>0</v>
      </c>
      <c r="O16" s="13">
        <f t="shared" si="9"/>
        <v>0</v>
      </c>
      <c r="P16" s="4">
        <f t="shared" si="3"/>
        <v>0</v>
      </c>
      <c r="Q16">
        <f t="shared" si="1"/>
        <v>0</v>
      </c>
      <c r="R16">
        <f>MEDIAN($P$1:P75)</f>
        <v>0</v>
      </c>
      <c r="S16" t="b">
        <f t="shared" si="10"/>
        <v>1</v>
      </c>
      <c r="T16" s="15">
        <f t="shared" si="4"/>
        <v>0</v>
      </c>
      <c r="U16" s="15">
        <f>AVERAGE(T$4:T46)</f>
        <v>0</v>
      </c>
      <c r="V16" s="15">
        <f>MIN(U$4:U46)</f>
        <v>0</v>
      </c>
      <c r="W16" t="b">
        <f t="shared" si="5"/>
        <v>1</v>
      </c>
      <c r="X16">
        <f t="shared" si="2"/>
        <v>1</v>
      </c>
      <c r="Y16">
        <f>SUM(X5:X16)</f>
        <v>12</v>
      </c>
      <c r="Z16">
        <f t="shared" si="6"/>
        <v>1</v>
      </c>
      <c r="AK16" s="19"/>
      <c r="AM16" s="4"/>
      <c r="AN16" s="4"/>
      <c r="AO16" s="4"/>
      <c r="AP16" s="15"/>
      <c r="AQ16" s="15"/>
      <c r="AR16" s="15"/>
      <c r="AS16" s="15"/>
      <c r="AT16" s="5"/>
      <c r="AU16" s="4"/>
      <c r="AV16" s="22"/>
      <c r="AW16" s="22"/>
      <c r="AX16" s="22"/>
      <c r="AY16" s="22"/>
      <c r="BE16" s="19">
        <f t="shared" si="11"/>
        <v>8.3333333333333332E-3</v>
      </c>
      <c r="BF16" t="e">
        <f t="shared" ca="1" si="7"/>
        <v>#VALUE!</v>
      </c>
    </row>
    <row r="17" spans="1:58" ht="12" customHeight="1">
      <c r="A17" s="31" t="str">
        <f>LEFT('Input csv'!A114,10)</f>
        <v/>
      </c>
      <c r="B17" s="19" t="e">
        <f t="shared" si="8"/>
        <v>#VALUE!</v>
      </c>
      <c r="C17" s="3">
        <f>'Input csv'!B114</f>
        <v>0</v>
      </c>
      <c r="D17" s="3">
        <f>'Input csv'!C114</f>
        <v>0</v>
      </c>
      <c r="E17" s="3">
        <f>'Input csv'!D114</f>
        <v>0</v>
      </c>
      <c r="F17" s="4">
        <f>'Input csv'!E114</f>
        <v>0</v>
      </c>
      <c r="G17" s="4">
        <f>'Input csv'!F114</f>
        <v>0</v>
      </c>
      <c r="H17" s="5">
        <f>'Input csv'!G114</f>
        <v>0</v>
      </c>
      <c r="I17" s="4">
        <f>'Input csv'!H114</f>
        <v>0</v>
      </c>
      <c r="J17" s="4">
        <f>'Input csv'!I114</f>
        <v>0</v>
      </c>
      <c r="K17" s="4">
        <f>'Input csv'!J114</f>
        <v>0</v>
      </c>
      <c r="L17" s="4">
        <f>'Input csv'!K114</f>
        <v>0</v>
      </c>
      <c r="M17" s="4">
        <f>'Input csv'!L114</f>
        <v>0</v>
      </c>
      <c r="N17" s="63">
        <f t="shared" si="0"/>
        <v>0</v>
      </c>
      <c r="O17" s="13">
        <f t="shared" ref="O17:O33" si="12">SQRT(ABS(C16-C17+D16-D17+E16-E17))</f>
        <v>0</v>
      </c>
      <c r="P17" s="4">
        <f t="shared" si="3"/>
        <v>0</v>
      </c>
      <c r="Q17">
        <f t="shared" si="1"/>
        <v>0</v>
      </c>
      <c r="R17">
        <f>MEDIAN($P$1:P76)</f>
        <v>0</v>
      </c>
      <c r="S17" t="b">
        <f t="shared" si="10"/>
        <v>1</v>
      </c>
      <c r="T17" s="15">
        <f t="shared" si="4"/>
        <v>0</v>
      </c>
      <c r="U17" s="15">
        <f>AVERAGE(T$4:T47)</f>
        <v>0</v>
      </c>
      <c r="V17" s="15">
        <f>MIN(U$4:U47)</f>
        <v>0</v>
      </c>
      <c r="W17" t="b">
        <f t="shared" si="5"/>
        <v>1</v>
      </c>
      <c r="X17">
        <f t="shared" si="2"/>
        <v>1</v>
      </c>
      <c r="Y17">
        <f>SUM(X6:X17)</f>
        <v>12</v>
      </c>
      <c r="Z17">
        <f t="shared" si="6"/>
        <v>1</v>
      </c>
      <c r="AK17" s="19"/>
      <c r="AM17" s="4"/>
      <c r="AN17" s="4"/>
      <c r="AO17" s="4"/>
      <c r="AP17" s="15"/>
      <c r="AQ17" s="15"/>
      <c r="AR17" s="15"/>
      <c r="AS17" s="15"/>
      <c r="AT17" s="5"/>
      <c r="AU17" s="4"/>
      <c r="BE17" s="19">
        <f t="shared" si="11"/>
        <v>9.0277777777777769E-3</v>
      </c>
      <c r="BF17" t="e">
        <f t="shared" ca="1" si="7"/>
        <v>#VALUE!</v>
      </c>
    </row>
    <row r="18" spans="1:58" ht="12" customHeight="1">
      <c r="A18" s="31" t="str">
        <f>LEFT('Input csv'!A115,10)</f>
        <v/>
      </c>
      <c r="B18" s="19" t="e">
        <f t="shared" si="8"/>
        <v>#VALUE!</v>
      </c>
      <c r="C18" s="3">
        <f>'Input csv'!B115</f>
        <v>0</v>
      </c>
      <c r="D18" s="3">
        <f>'Input csv'!C115</f>
        <v>0</v>
      </c>
      <c r="E18" s="3">
        <f>'Input csv'!D115</f>
        <v>0</v>
      </c>
      <c r="F18" s="4">
        <f>'Input csv'!E115</f>
        <v>0</v>
      </c>
      <c r="G18" s="4">
        <f>'Input csv'!F115</f>
        <v>0</v>
      </c>
      <c r="H18" s="5">
        <f>'Input csv'!G115</f>
        <v>0</v>
      </c>
      <c r="I18" s="4">
        <f>'Input csv'!H115</f>
        <v>0</v>
      </c>
      <c r="J18" s="4">
        <f>'Input csv'!I115</f>
        <v>0</v>
      </c>
      <c r="K18" s="4">
        <f>'Input csv'!J115</f>
        <v>0</v>
      </c>
      <c r="L18" s="4">
        <f>'Input csv'!K115</f>
        <v>0</v>
      </c>
      <c r="M18" s="4">
        <f>'Input csv'!L115</f>
        <v>0</v>
      </c>
      <c r="N18" s="63">
        <f t="shared" si="0"/>
        <v>0</v>
      </c>
      <c r="O18" s="13">
        <f t="shared" si="12"/>
        <v>0</v>
      </c>
      <c r="P18" s="4">
        <f t="shared" si="3"/>
        <v>0</v>
      </c>
      <c r="Q18">
        <f t="shared" si="1"/>
        <v>0</v>
      </c>
      <c r="R18">
        <f>MEDIAN($P$1:P77)</f>
        <v>0</v>
      </c>
      <c r="S18" t="b">
        <f t="shared" si="10"/>
        <v>1</v>
      </c>
      <c r="T18" s="15">
        <f t="shared" si="4"/>
        <v>0</v>
      </c>
      <c r="U18" s="15">
        <f>AVERAGE(T$4:T48)</f>
        <v>0</v>
      </c>
      <c r="V18" s="15">
        <f>MIN(U$4:U48)</f>
        <v>0</v>
      </c>
      <c r="W18" t="b">
        <f t="shared" si="5"/>
        <v>1</v>
      </c>
      <c r="X18">
        <f t="shared" si="2"/>
        <v>1</v>
      </c>
      <c r="Y18">
        <f t="shared" ref="Y18:Y65" si="13">SUM(X7:X18)</f>
        <v>12</v>
      </c>
      <c r="Z18">
        <f t="shared" si="6"/>
        <v>1</v>
      </c>
      <c r="AK18" s="19"/>
      <c r="AM18" s="4"/>
      <c r="AN18" s="4"/>
      <c r="AO18" s="4"/>
      <c r="AP18" s="15"/>
      <c r="AQ18" s="15"/>
      <c r="AR18" s="15"/>
      <c r="AS18" s="15"/>
      <c r="AT18" s="5"/>
      <c r="AU18" s="4"/>
      <c r="BE18" s="19">
        <f t="shared" si="11"/>
        <v>9.7222222222222206E-3</v>
      </c>
      <c r="BF18" t="e">
        <f t="shared" ca="1" si="7"/>
        <v>#VALUE!</v>
      </c>
    </row>
    <row r="19" spans="1:58" ht="12" customHeight="1">
      <c r="A19" s="31" t="str">
        <f>LEFT('Input csv'!A116,10)</f>
        <v/>
      </c>
      <c r="B19" s="19" t="e">
        <f t="shared" si="8"/>
        <v>#VALUE!</v>
      </c>
      <c r="C19" s="3">
        <f>'Input csv'!B116</f>
        <v>0</v>
      </c>
      <c r="D19" s="3">
        <f>'Input csv'!C116</f>
        <v>0</v>
      </c>
      <c r="E19" s="3">
        <f>'Input csv'!D116</f>
        <v>0</v>
      </c>
      <c r="F19" s="4">
        <f>'Input csv'!E116</f>
        <v>0</v>
      </c>
      <c r="G19" s="4">
        <f>'Input csv'!F116</f>
        <v>0</v>
      </c>
      <c r="H19" s="5">
        <f>'Input csv'!G116</f>
        <v>0</v>
      </c>
      <c r="I19" s="4">
        <f>'Input csv'!H116</f>
        <v>0</v>
      </c>
      <c r="J19" s="4">
        <f>'Input csv'!I116</f>
        <v>0</v>
      </c>
      <c r="K19" s="4">
        <f>'Input csv'!J116</f>
        <v>0</v>
      </c>
      <c r="L19" s="4">
        <f>'Input csv'!K116</f>
        <v>0</v>
      </c>
      <c r="M19" s="4">
        <f>'Input csv'!L116</f>
        <v>0</v>
      </c>
      <c r="N19" s="63">
        <f t="shared" si="0"/>
        <v>0</v>
      </c>
      <c r="O19" s="13">
        <f t="shared" si="12"/>
        <v>0</v>
      </c>
      <c r="P19" s="4">
        <f t="shared" si="3"/>
        <v>0</v>
      </c>
      <c r="Q19">
        <f t="shared" si="1"/>
        <v>0</v>
      </c>
      <c r="R19">
        <f>MEDIAN($P$1:P78)</f>
        <v>0</v>
      </c>
      <c r="S19" t="b">
        <f t="shared" si="10"/>
        <v>1</v>
      </c>
      <c r="T19" s="15">
        <f t="shared" si="4"/>
        <v>0</v>
      </c>
      <c r="U19" s="15">
        <f>AVERAGE(T$4:T49)</f>
        <v>0</v>
      </c>
      <c r="V19" s="15">
        <f>MIN(U$4:U49)</f>
        <v>0</v>
      </c>
      <c r="W19" t="b">
        <f t="shared" si="5"/>
        <v>1</v>
      </c>
      <c r="X19">
        <f t="shared" si="2"/>
        <v>1</v>
      </c>
      <c r="Y19">
        <f t="shared" si="13"/>
        <v>12</v>
      </c>
      <c r="Z19">
        <f t="shared" si="6"/>
        <v>1</v>
      </c>
      <c r="AK19" s="19"/>
      <c r="AM19" s="4"/>
      <c r="AN19" s="4"/>
      <c r="AO19" s="4"/>
      <c r="AP19" s="15"/>
      <c r="AQ19" s="15"/>
      <c r="AR19" s="15"/>
      <c r="AS19" s="15"/>
      <c r="AT19" s="5"/>
      <c r="AU19" s="4"/>
      <c r="BE19" s="19">
        <f t="shared" si="11"/>
        <v>1.0416666666666664E-2</v>
      </c>
      <c r="BF19" t="e">
        <f t="shared" ca="1" si="7"/>
        <v>#VALUE!</v>
      </c>
    </row>
    <row r="20" spans="1:58" ht="12" customHeight="1">
      <c r="A20" s="31" t="str">
        <f>LEFT('Input csv'!A117,10)</f>
        <v/>
      </c>
      <c r="B20" s="19" t="e">
        <f t="shared" si="8"/>
        <v>#VALUE!</v>
      </c>
      <c r="C20" s="3">
        <f>'Input csv'!B117</f>
        <v>0</v>
      </c>
      <c r="D20" s="3">
        <f>'Input csv'!C117</f>
        <v>0</v>
      </c>
      <c r="E20" s="3">
        <f>'Input csv'!D117</f>
        <v>0</v>
      </c>
      <c r="F20" s="4">
        <f>'Input csv'!E117</f>
        <v>0</v>
      </c>
      <c r="G20" s="4">
        <f>'Input csv'!F117</f>
        <v>0</v>
      </c>
      <c r="H20" s="5">
        <f>'Input csv'!G117</f>
        <v>0</v>
      </c>
      <c r="I20" s="4">
        <f>'Input csv'!H117</f>
        <v>0</v>
      </c>
      <c r="J20" s="4">
        <f>'Input csv'!I117</f>
        <v>0</v>
      </c>
      <c r="K20" s="4">
        <f>'Input csv'!J117</f>
        <v>0</v>
      </c>
      <c r="L20" s="4">
        <f>'Input csv'!K117</f>
        <v>0</v>
      </c>
      <c r="M20" s="4">
        <f>'Input csv'!L117</f>
        <v>0</v>
      </c>
      <c r="N20" s="63">
        <f t="shared" si="0"/>
        <v>0</v>
      </c>
      <c r="O20" s="13">
        <f t="shared" si="12"/>
        <v>0</v>
      </c>
      <c r="P20" s="4">
        <f t="shared" si="3"/>
        <v>0</v>
      </c>
      <c r="Q20">
        <f t="shared" si="1"/>
        <v>0</v>
      </c>
      <c r="R20">
        <f>MEDIAN($P$1:P79)</f>
        <v>0</v>
      </c>
      <c r="S20" t="b">
        <f t="shared" si="10"/>
        <v>1</v>
      </c>
      <c r="T20" s="15">
        <f t="shared" si="4"/>
        <v>0</v>
      </c>
      <c r="U20" s="15">
        <f>AVERAGE(T$4:T50)</f>
        <v>0</v>
      </c>
      <c r="V20" s="15">
        <f>MIN(U$4:U50)</f>
        <v>0</v>
      </c>
      <c r="W20" t="b">
        <f t="shared" si="5"/>
        <v>1</v>
      </c>
      <c r="X20">
        <f t="shared" si="2"/>
        <v>1</v>
      </c>
      <c r="Y20">
        <f t="shared" si="13"/>
        <v>12</v>
      </c>
      <c r="Z20">
        <f t="shared" si="6"/>
        <v>1</v>
      </c>
      <c r="AK20" s="19"/>
      <c r="AM20" s="4"/>
      <c r="AN20" s="4"/>
      <c r="AO20" s="4"/>
      <c r="AP20" s="15"/>
      <c r="AQ20" s="15"/>
      <c r="AR20" s="15"/>
      <c r="AS20" s="15"/>
      <c r="AT20" s="5"/>
      <c r="AU20" s="4"/>
      <c r="BE20" s="19">
        <f t="shared" si="11"/>
        <v>1.1111111111111108E-2</v>
      </c>
      <c r="BF20" t="e">
        <f t="shared" ca="1" si="7"/>
        <v>#VALUE!</v>
      </c>
    </row>
    <row r="21" spans="1:58" ht="12" customHeight="1">
      <c r="A21" s="31" t="str">
        <f>LEFT('Input csv'!A118,10)</f>
        <v/>
      </c>
      <c r="B21" s="19" t="e">
        <f t="shared" si="8"/>
        <v>#VALUE!</v>
      </c>
      <c r="C21" s="3">
        <f>'Input csv'!B118</f>
        <v>0</v>
      </c>
      <c r="D21" s="3">
        <f>'Input csv'!C118</f>
        <v>0</v>
      </c>
      <c r="E21" s="3">
        <f>'Input csv'!D118</f>
        <v>0</v>
      </c>
      <c r="F21" s="4">
        <f>'Input csv'!E118</f>
        <v>0</v>
      </c>
      <c r="G21" s="4">
        <f>'Input csv'!F118</f>
        <v>0</v>
      </c>
      <c r="H21" s="5">
        <f>'Input csv'!G118</f>
        <v>0</v>
      </c>
      <c r="I21" s="4">
        <f>'Input csv'!H118</f>
        <v>0</v>
      </c>
      <c r="J21" s="4">
        <f>'Input csv'!I118</f>
        <v>0</v>
      </c>
      <c r="K21" s="4">
        <f>'Input csv'!J118</f>
        <v>0</v>
      </c>
      <c r="L21" s="4">
        <f>'Input csv'!K118</f>
        <v>0</v>
      </c>
      <c r="M21" s="4">
        <f>'Input csv'!L118</f>
        <v>0</v>
      </c>
      <c r="N21" s="63">
        <f t="shared" si="0"/>
        <v>0</v>
      </c>
      <c r="O21" s="13">
        <f t="shared" si="12"/>
        <v>0</v>
      </c>
      <c r="P21" s="4">
        <f t="shared" si="3"/>
        <v>0</v>
      </c>
      <c r="Q21">
        <f t="shared" si="1"/>
        <v>0</v>
      </c>
      <c r="R21">
        <f>MEDIAN($P$1:P80)</f>
        <v>0</v>
      </c>
      <c r="S21" t="b">
        <f t="shared" si="10"/>
        <v>1</v>
      </c>
      <c r="T21" s="15">
        <f t="shared" si="4"/>
        <v>0</v>
      </c>
      <c r="U21" s="15">
        <f>AVERAGE(T$4:T51)</f>
        <v>0</v>
      </c>
      <c r="V21" s="15">
        <f>MIN(U$4:U51)</f>
        <v>0</v>
      </c>
      <c r="W21" t="b">
        <f t="shared" si="5"/>
        <v>1</v>
      </c>
      <c r="X21">
        <f t="shared" si="2"/>
        <v>1</v>
      </c>
      <c r="Y21">
        <f t="shared" si="13"/>
        <v>12</v>
      </c>
      <c r="Z21">
        <f t="shared" si="6"/>
        <v>1</v>
      </c>
      <c r="AK21" s="19"/>
      <c r="AM21" s="4"/>
      <c r="AN21" s="4"/>
      <c r="AO21" s="4"/>
      <c r="AP21" s="15"/>
      <c r="AQ21" s="15"/>
      <c r="AR21" s="15"/>
      <c r="AS21" s="15"/>
      <c r="AT21" s="5"/>
      <c r="AU21" s="4"/>
      <c r="BE21" s="19">
        <f t="shared" si="11"/>
        <v>1.1805555555555552E-2</v>
      </c>
      <c r="BF21" t="e">
        <f t="shared" ca="1" si="7"/>
        <v>#VALUE!</v>
      </c>
    </row>
    <row r="22" spans="1:58" ht="12" customHeight="1">
      <c r="A22" s="31" t="str">
        <f>LEFT('Input csv'!A119,10)</f>
        <v/>
      </c>
      <c r="B22" s="19" t="e">
        <f t="shared" si="8"/>
        <v>#VALUE!</v>
      </c>
      <c r="C22" s="3">
        <f>'Input csv'!B119</f>
        <v>0</v>
      </c>
      <c r="D22" s="3">
        <f>'Input csv'!C119</f>
        <v>0</v>
      </c>
      <c r="E22" s="3">
        <f>'Input csv'!D119</f>
        <v>0</v>
      </c>
      <c r="F22" s="4">
        <f>'Input csv'!E119</f>
        <v>0</v>
      </c>
      <c r="G22" s="4">
        <f>'Input csv'!F119</f>
        <v>0</v>
      </c>
      <c r="H22" s="5">
        <f>'Input csv'!G119</f>
        <v>0</v>
      </c>
      <c r="I22" s="4">
        <f>'Input csv'!H119</f>
        <v>0</v>
      </c>
      <c r="J22" s="4">
        <f>'Input csv'!I119</f>
        <v>0</v>
      </c>
      <c r="K22" s="4">
        <f>'Input csv'!J119</f>
        <v>0</v>
      </c>
      <c r="L22" s="4">
        <f>'Input csv'!K119</f>
        <v>0</v>
      </c>
      <c r="M22" s="4">
        <f>'Input csv'!L119</f>
        <v>0</v>
      </c>
      <c r="N22" s="63">
        <f t="shared" si="0"/>
        <v>0</v>
      </c>
      <c r="O22" s="13">
        <f t="shared" si="12"/>
        <v>0</v>
      </c>
      <c r="P22" s="4">
        <f t="shared" si="3"/>
        <v>0</v>
      </c>
      <c r="Q22">
        <f t="shared" si="1"/>
        <v>0</v>
      </c>
      <c r="R22">
        <f>MEDIAN($P$1:P81)</f>
        <v>0</v>
      </c>
      <c r="S22" t="b">
        <f t="shared" si="10"/>
        <v>1</v>
      </c>
      <c r="T22" s="15">
        <f t="shared" si="4"/>
        <v>0</v>
      </c>
      <c r="U22" s="15">
        <f>AVERAGE(T$4:T52)</f>
        <v>0</v>
      </c>
      <c r="V22" s="15">
        <f>MIN(U$4:U52)</f>
        <v>0</v>
      </c>
      <c r="W22" t="b">
        <f t="shared" si="5"/>
        <v>1</v>
      </c>
      <c r="X22">
        <f t="shared" si="2"/>
        <v>1</v>
      </c>
      <c r="Y22">
        <f>SUM(X11:X22)</f>
        <v>12</v>
      </c>
      <c r="Z22">
        <f t="shared" si="6"/>
        <v>1</v>
      </c>
      <c r="AK22" s="19"/>
      <c r="AM22" s="4"/>
      <c r="AN22" s="4"/>
      <c r="AO22" s="4"/>
      <c r="AP22" s="15"/>
      <c r="AQ22" s="15"/>
      <c r="AR22" s="15"/>
      <c r="AS22" s="15"/>
      <c r="AT22" s="5"/>
      <c r="AU22" s="4"/>
      <c r="BE22" s="19">
        <f t="shared" si="11"/>
        <v>1.2499999999999995E-2</v>
      </c>
      <c r="BF22" t="e">
        <f t="shared" ca="1" si="7"/>
        <v>#VALUE!</v>
      </c>
    </row>
    <row r="23" spans="1:58" ht="12" customHeight="1">
      <c r="A23" s="31" t="str">
        <f>LEFT('Input csv'!A120,10)</f>
        <v/>
      </c>
      <c r="B23" s="19" t="e">
        <f t="shared" si="8"/>
        <v>#VALUE!</v>
      </c>
      <c r="C23" s="3">
        <f>'Input csv'!B120</f>
        <v>0</v>
      </c>
      <c r="D23" s="3">
        <f>'Input csv'!C120</f>
        <v>0</v>
      </c>
      <c r="E23" s="3">
        <f>'Input csv'!D120</f>
        <v>0</v>
      </c>
      <c r="F23" s="4">
        <f>'Input csv'!E120</f>
        <v>0</v>
      </c>
      <c r="G23" s="4">
        <f>'Input csv'!F120</f>
        <v>0</v>
      </c>
      <c r="H23" s="5">
        <f>'Input csv'!G120</f>
        <v>0</v>
      </c>
      <c r="I23" s="4">
        <f>'Input csv'!H120</f>
        <v>0</v>
      </c>
      <c r="J23" s="4">
        <f>'Input csv'!I120</f>
        <v>0</v>
      </c>
      <c r="K23" s="4">
        <f>'Input csv'!J120</f>
        <v>0</v>
      </c>
      <c r="L23" s="4">
        <f>'Input csv'!K120</f>
        <v>0</v>
      </c>
      <c r="M23" s="4">
        <f>'Input csv'!L120</f>
        <v>0</v>
      </c>
      <c r="N23" s="63">
        <f t="shared" si="0"/>
        <v>0</v>
      </c>
      <c r="O23" s="13">
        <f t="shared" si="12"/>
        <v>0</v>
      </c>
      <c r="P23" s="4">
        <f t="shared" si="3"/>
        <v>0</v>
      </c>
      <c r="Q23">
        <f t="shared" si="1"/>
        <v>0</v>
      </c>
      <c r="R23">
        <f>MEDIAN($P$1:P82)</f>
        <v>0</v>
      </c>
      <c r="S23" t="b">
        <f t="shared" si="10"/>
        <v>1</v>
      </c>
      <c r="T23" s="15">
        <f t="shared" si="4"/>
        <v>0</v>
      </c>
      <c r="U23" s="15">
        <f>AVERAGE(T$4:T53)</f>
        <v>0</v>
      </c>
      <c r="V23" s="15">
        <f>MIN(U$4:U53)</f>
        <v>0</v>
      </c>
      <c r="W23" t="b">
        <f t="shared" si="5"/>
        <v>1</v>
      </c>
      <c r="X23">
        <f t="shared" si="2"/>
        <v>1</v>
      </c>
      <c r="Y23">
        <f t="shared" si="13"/>
        <v>12</v>
      </c>
      <c r="Z23">
        <f t="shared" si="6"/>
        <v>1</v>
      </c>
      <c r="AK23" s="19"/>
      <c r="AM23" s="4"/>
      <c r="AN23" s="4"/>
      <c r="AO23" s="4"/>
      <c r="AP23" s="15"/>
      <c r="AQ23" s="15"/>
      <c r="AR23" s="15"/>
      <c r="AS23" s="15"/>
      <c r="AT23" s="5"/>
      <c r="AU23" s="4"/>
      <c r="BE23" s="19">
        <f t="shared" si="11"/>
        <v>1.3194444444444439E-2</v>
      </c>
      <c r="BF23" t="e">
        <f t="shared" ca="1" si="7"/>
        <v>#VALUE!</v>
      </c>
    </row>
    <row r="24" spans="1:58" ht="12" customHeight="1">
      <c r="A24" s="31" t="str">
        <f>LEFT('Input csv'!A121,10)</f>
        <v/>
      </c>
      <c r="B24" s="19" t="e">
        <f t="shared" si="8"/>
        <v>#VALUE!</v>
      </c>
      <c r="C24" s="3">
        <f>'Input csv'!B121</f>
        <v>0</v>
      </c>
      <c r="D24" s="3">
        <f>'Input csv'!C121</f>
        <v>0</v>
      </c>
      <c r="E24" s="3">
        <f>'Input csv'!D121</f>
        <v>0</v>
      </c>
      <c r="F24" s="4">
        <f>'Input csv'!E121</f>
        <v>0</v>
      </c>
      <c r="G24" s="4">
        <f>'Input csv'!F121</f>
        <v>0</v>
      </c>
      <c r="H24" s="5">
        <f>'Input csv'!G121</f>
        <v>0</v>
      </c>
      <c r="I24" s="4">
        <f>'Input csv'!H121</f>
        <v>0</v>
      </c>
      <c r="J24" s="4">
        <f>'Input csv'!I121</f>
        <v>0</v>
      </c>
      <c r="K24" s="4">
        <f>'Input csv'!J121</f>
        <v>0</v>
      </c>
      <c r="L24" s="4">
        <f>'Input csv'!K121</f>
        <v>0</v>
      </c>
      <c r="M24" s="4">
        <f>'Input csv'!L121</f>
        <v>0</v>
      </c>
      <c r="N24" s="63">
        <f t="shared" si="0"/>
        <v>0</v>
      </c>
      <c r="O24" s="13">
        <f t="shared" si="12"/>
        <v>0</v>
      </c>
      <c r="P24" s="4">
        <f t="shared" si="3"/>
        <v>0</v>
      </c>
      <c r="Q24">
        <f t="shared" si="1"/>
        <v>0</v>
      </c>
      <c r="R24">
        <f>MEDIAN($P$1:P83)</f>
        <v>0</v>
      </c>
      <c r="S24" t="b">
        <f t="shared" si="10"/>
        <v>1</v>
      </c>
      <c r="T24" s="15">
        <f t="shared" si="4"/>
        <v>0</v>
      </c>
      <c r="U24" s="15">
        <f>AVERAGE(T$4:T54)</f>
        <v>0</v>
      </c>
      <c r="V24" s="15">
        <f>MIN(U$4:U54)</f>
        <v>0</v>
      </c>
      <c r="W24" t="b">
        <f t="shared" si="5"/>
        <v>1</v>
      </c>
      <c r="X24">
        <f t="shared" si="2"/>
        <v>1</v>
      </c>
      <c r="Y24">
        <f t="shared" si="13"/>
        <v>12</v>
      </c>
      <c r="Z24">
        <f t="shared" si="6"/>
        <v>1</v>
      </c>
      <c r="AI24" s="15" t="str">
        <f t="shared" ref="AI24:AI65" si="14">IF(W24=TRUE,"0",IF(Z24=1,0.9,IF(0.9&gt;((I24*80/(frequency*125.34))^0.6983),0.9,((I24*80/(frequency*125.34))^0.6983))))</f>
        <v>0</v>
      </c>
      <c r="AK24" s="19"/>
      <c r="AM24" s="4"/>
      <c r="AN24" s="4"/>
      <c r="AO24" s="4"/>
      <c r="AP24" s="15"/>
      <c r="AQ24" s="15"/>
      <c r="AR24" s="15"/>
      <c r="AS24" s="15"/>
      <c r="AT24" s="5"/>
      <c r="AU24" s="4"/>
      <c r="BE24" s="19">
        <f t="shared" si="11"/>
        <v>1.3888888888888883E-2</v>
      </c>
      <c r="BF24" t="e">
        <f t="shared" ca="1" si="7"/>
        <v>#VALUE!</v>
      </c>
    </row>
    <row r="25" spans="1:58" ht="12" customHeight="1">
      <c r="A25" s="31" t="str">
        <f>LEFT('Input csv'!A122,10)</f>
        <v/>
      </c>
      <c r="B25" s="19" t="e">
        <f t="shared" si="8"/>
        <v>#VALUE!</v>
      </c>
      <c r="C25" s="3">
        <f>'Input csv'!B122</f>
        <v>0</v>
      </c>
      <c r="D25" s="3">
        <f>'Input csv'!C122</f>
        <v>0</v>
      </c>
      <c r="E25" s="3">
        <f>'Input csv'!D122</f>
        <v>0</v>
      </c>
      <c r="F25" s="4">
        <f>'Input csv'!E122</f>
        <v>0</v>
      </c>
      <c r="G25" s="4">
        <f>'Input csv'!F122</f>
        <v>0</v>
      </c>
      <c r="H25" s="5">
        <f>'Input csv'!G122</f>
        <v>0</v>
      </c>
      <c r="I25" s="4">
        <f>'Input csv'!H122</f>
        <v>0</v>
      </c>
      <c r="J25" s="4">
        <f>'Input csv'!I122</f>
        <v>0</v>
      </c>
      <c r="K25" s="4">
        <f>'Input csv'!J122</f>
        <v>0</v>
      </c>
      <c r="L25" s="4">
        <f>'Input csv'!K122</f>
        <v>0</v>
      </c>
      <c r="M25" s="4">
        <f>'Input csv'!L122</f>
        <v>0</v>
      </c>
      <c r="N25" s="63">
        <f t="shared" si="0"/>
        <v>0</v>
      </c>
      <c r="O25" s="13">
        <f t="shared" si="12"/>
        <v>0</v>
      </c>
      <c r="P25" s="4">
        <f t="shared" si="3"/>
        <v>0</v>
      </c>
      <c r="Q25">
        <f t="shared" si="1"/>
        <v>0</v>
      </c>
      <c r="R25">
        <f>MEDIAN($P$1:P84)</f>
        <v>0</v>
      </c>
      <c r="S25" t="b">
        <f t="shared" si="10"/>
        <v>1</v>
      </c>
      <c r="T25" s="15">
        <f t="shared" si="4"/>
        <v>0</v>
      </c>
      <c r="U25" s="15">
        <f>AVERAGE(T$4:T55)</f>
        <v>0</v>
      </c>
      <c r="V25" s="15">
        <f>MIN(U$4:U55)</f>
        <v>0</v>
      </c>
      <c r="W25" t="b">
        <f t="shared" si="5"/>
        <v>1</v>
      </c>
      <c r="X25">
        <f t="shared" si="2"/>
        <v>1</v>
      </c>
      <c r="Y25">
        <f t="shared" si="13"/>
        <v>12</v>
      </c>
      <c r="Z25">
        <f t="shared" si="6"/>
        <v>1</v>
      </c>
      <c r="AI25" s="15" t="str">
        <f t="shared" si="14"/>
        <v>0</v>
      </c>
      <c r="AK25" s="19"/>
      <c r="AM25" s="4"/>
      <c r="AN25" s="4"/>
      <c r="AO25" s="4"/>
      <c r="AP25" s="15"/>
      <c r="AQ25" s="15"/>
      <c r="AR25" s="15"/>
      <c r="AS25" s="15"/>
      <c r="AT25" s="5"/>
      <c r="AU25" s="4"/>
      <c r="BE25" s="19">
        <f t="shared" si="11"/>
        <v>1.4583333333333327E-2</v>
      </c>
      <c r="BF25" t="e">
        <f t="shared" ca="1" si="7"/>
        <v>#VALUE!</v>
      </c>
    </row>
    <row r="26" spans="1:58" ht="12" customHeight="1">
      <c r="A26" s="31" t="str">
        <f>LEFT('Input csv'!A123,10)</f>
        <v/>
      </c>
      <c r="B26" s="19" t="e">
        <f t="shared" si="8"/>
        <v>#VALUE!</v>
      </c>
      <c r="C26" s="3">
        <f>'Input csv'!B123</f>
        <v>0</v>
      </c>
      <c r="D26" s="3">
        <f>'Input csv'!C123</f>
        <v>0</v>
      </c>
      <c r="E26" s="3">
        <f>'Input csv'!D123</f>
        <v>0</v>
      </c>
      <c r="F26" s="4">
        <f>'Input csv'!E123</f>
        <v>0</v>
      </c>
      <c r="G26" s="4">
        <f>'Input csv'!F123</f>
        <v>0</v>
      </c>
      <c r="H26" s="5">
        <f>'Input csv'!G123</f>
        <v>0</v>
      </c>
      <c r="I26" s="4">
        <f>'Input csv'!H123</f>
        <v>0</v>
      </c>
      <c r="J26" s="4">
        <f>'Input csv'!I123</f>
        <v>0</v>
      </c>
      <c r="K26" s="4">
        <f>'Input csv'!J123</f>
        <v>0</v>
      </c>
      <c r="L26" s="4">
        <f>'Input csv'!K123</f>
        <v>0</v>
      </c>
      <c r="M26" s="4">
        <f>'Input csv'!L123</f>
        <v>0</v>
      </c>
      <c r="N26" s="63">
        <f t="shared" si="0"/>
        <v>0</v>
      </c>
      <c r="O26" s="13">
        <f t="shared" si="12"/>
        <v>0</v>
      </c>
      <c r="P26" s="4">
        <f t="shared" si="3"/>
        <v>0</v>
      </c>
      <c r="Q26">
        <f t="shared" si="1"/>
        <v>0</v>
      </c>
      <c r="R26">
        <f>MEDIAN($P$1:P85)</f>
        <v>0</v>
      </c>
      <c r="S26" t="b">
        <f t="shared" si="10"/>
        <v>1</v>
      </c>
      <c r="T26" s="15">
        <f t="shared" si="4"/>
        <v>0</v>
      </c>
      <c r="U26" s="15">
        <f>AVERAGE(T$4:T56)</f>
        <v>0</v>
      </c>
      <c r="V26" s="15">
        <f>MIN(U$4:U56)</f>
        <v>0</v>
      </c>
      <c r="W26" t="b">
        <f t="shared" si="5"/>
        <v>1</v>
      </c>
      <c r="X26">
        <f t="shared" si="2"/>
        <v>1</v>
      </c>
      <c r="Y26">
        <f t="shared" si="13"/>
        <v>12</v>
      </c>
      <c r="Z26">
        <f t="shared" si="6"/>
        <v>1</v>
      </c>
      <c r="AI26" s="15" t="str">
        <f t="shared" si="14"/>
        <v>0</v>
      </c>
      <c r="AK26" s="19"/>
      <c r="AM26" s="4"/>
      <c r="AN26" s="4"/>
      <c r="AO26" s="4"/>
      <c r="AP26" s="15"/>
      <c r="AQ26" s="15"/>
      <c r="AR26" s="15"/>
      <c r="AS26" s="15"/>
      <c r="AT26" s="5"/>
      <c r="AU26" s="4"/>
      <c r="BE26" s="19">
        <f t="shared" si="11"/>
        <v>1.527777777777777E-2</v>
      </c>
      <c r="BF26" t="e">
        <f t="shared" ca="1" si="7"/>
        <v>#VALUE!</v>
      </c>
    </row>
    <row r="27" spans="1:58" ht="12" customHeight="1">
      <c r="A27" s="31" t="str">
        <f>LEFT('Input csv'!A124,10)</f>
        <v/>
      </c>
      <c r="B27" s="19" t="e">
        <f t="shared" si="8"/>
        <v>#VALUE!</v>
      </c>
      <c r="C27" s="3">
        <f>'Input csv'!B124</f>
        <v>0</v>
      </c>
      <c r="D27" s="3">
        <f>'Input csv'!C124</f>
        <v>0</v>
      </c>
      <c r="E27" s="3">
        <f>'Input csv'!D124</f>
        <v>0</v>
      </c>
      <c r="F27" s="4">
        <f>'Input csv'!E124</f>
        <v>0</v>
      </c>
      <c r="G27" s="4">
        <f>'Input csv'!F124</f>
        <v>0</v>
      </c>
      <c r="H27" s="5">
        <f>'Input csv'!G124</f>
        <v>0</v>
      </c>
      <c r="I27" s="4">
        <f>'Input csv'!H124</f>
        <v>0</v>
      </c>
      <c r="J27" s="4">
        <f>'Input csv'!I124</f>
        <v>0</v>
      </c>
      <c r="K27" s="4">
        <f>'Input csv'!J124</f>
        <v>0</v>
      </c>
      <c r="L27" s="4">
        <f>'Input csv'!K124</f>
        <v>0</v>
      </c>
      <c r="M27" s="4">
        <f>'Input csv'!L124</f>
        <v>0</v>
      </c>
      <c r="N27" s="63">
        <f t="shared" si="0"/>
        <v>0</v>
      </c>
      <c r="O27" s="13">
        <f t="shared" si="12"/>
        <v>0</v>
      </c>
      <c r="P27" s="4">
        <f t="shared" si="3"/>
        <v>0</v>
      </c>
      <c r="Q27">
        <f t="shared" si="1"/>
        <v>0</v>
      </c>
      <c r="R27">
        <f>MEDIAN($P$1:P86)</f>
        <v>0</v>
      </c>
      <c r="S27" t="b">
        <f t="shared" si="10"/>
        <v>1</v>
      </c>
      <c r="T27" s="15">
        <f t="shared" si="4"/>
        <v>0</v>
      </c>
      <c r="U27" s="15">
        <f>AVERAGE(T$4:T57)</f>
        <v>0</v>
      </c>
      <c r="V27" s="15">
        <f>MIN(U$4:U57)</f>
        <v>0</v>
      </c>
      <c r="W27" t="b">
        <f t="shared" si="5"/>
        <v>1</v>
      </c>
      <c r="X27">
        <f t="shared" si="2"/>
        <v>1</v>
      </c>
      <c r="Y27">
        <f t="shared" si="13"/>
        <v>12</v>
      </c>
      <c r="Z27">
        <f t="shared" si="6"/>
        <v>1</v>
      </c>
      <c r="AI27" s="15" t="str">
        <f t="shared" si="14"/>
        <v>0</v>
      </c>
      <c r="AK27" s="19"/>
      <c r="AM27" s="4"/>
      <c r="AN27" s="4"/>
      <c r="AO27" s="62"/>
      <c r="AP27" s="15"/>
      <c r="AQ27" s="15"/>
      <c r="AR27" s="15"/>
      <c r="AS27" s="15"/>
      <c r="AT27" s="5"/>
      <c r="AU27" s="4"/>
      <c r="BE27" s="19">
        <f t="shared" si="11"/>
        <v>1.5972222222222214E-2</v>
      </c>
      <c r="BF27" t="e">
        <f t="shared" ca="1" si="7"/>
        <v>#VALUE!</v>
      </c>
    </row>
    <row r="28" spans="1:58" ht="12" customHeight="1">
      <c r="A28" s="31" t="str">
        <f>LEFT('Input csv'!A125,10)</f>
        <v/>
      </c>
      <c r="B28" s="19" t="e">
        <f t="shared" si="8"/>
        <v>#VALUE!</v>
      </c>
      <c r="C28" s="3">
        <f>'Input csv'!B125</f>
        <v>0</v>
      </c>
      <c r="D28" s="3">
        <f>'Input csv'!C125</f>
        <v>0</v>
      </c>
      <c r="E28" s="3">
        <f>'Input csv'!D125</f>
        <v>0</v>
      </c>
      <c r="F28" s="4">
        <f>'Input csv'!E125</f>
        <v>0</v>
      </c>
      <c r="G28" s="4">
        <f>'Input csv'!F125</f>
        <v>0</v>
      </c>
      <c r="H28" s="5">
        <f>'Input csv'!G125</f>
        <v>0</v>
      </c>
      <c r="I28" s="4">
        <f>'Input csv'!H125</f>
        <v>0</v>
      </c>
      <c r="J28" s="4">
        <f>'Input csv'!I125</f>
        <v>0</v>
      </c>
      <c r="K28" s="4">
        <f>'Input csv'!J125</f>
        <v>0</v>
      </c>
      <c r="L28" s="4">
        <f>'Input csv'!K125</f>
        <v>0</v>
      </c>
      <c r="M28" s="4">
        <f>'Input csv'!L125</f>
        <v>0</v>
      </c>
      <c r="N28" s="63">
        <f t="shared" si="0"/>
        <v>0</v>
      </c>
      <c r="O28" s="13">
        <f t="shared" si="12"/>
        <v>0</v>
      </c>
      <c r="P28" s="4">
        <f t="shared" si="3"/>
        <v>0</v>
      </c>
      <c r="Q28">
        <f t="shared" si="1"/>
        <v>0</v>
      </c>
      <c r="R28">
        <f>MEDIAN($P$1:P87)</f>
        <v>0</v>
      </c>
      <c r="S28" t="b">
        <f t="shared" si="10"/>
        <v>1</v>
      </c>
      <c r="T28" s="15">
        <f t="shared" si="4"/>
        <v>0</v>
      </c>
      <c r="U28" s="15">
        <f>AVERAGE(T$4:T58)</f>
        <v>0</v>
      </c>
      <c r="V28" s="15">
        <f>MIN(U$4:U58)</f>
        <v>0</v>
      </c>
      <c r="W28" t="b">
        <f t="shared" si="5"/>
        <v>1</v>
      </c>
      <c r="X28">
        <f t="shared" si="2"/>
        <v>1</v>
      </c>
      <c r="Y28">
        <f t="shared" si="13"/>
        <v>12</v>
      </c>
      <c r="Z28">
        <f t="shared" si="6"/>
        <v>1</v>
      </c>
      <c r="AI28" s="15" t="str">
        <f t="shared" si="14"/>
        <v>0</v>
      </c>
      <c r="AK28" s="19"/>
      <c r="AM28" s="4"/>
      <c r="AN28" s="4"/>
      <c r="AO28" s="4"/>
      <c r="AP28" s="15"/>
      <c r="AQ28" s="15"/>
      <c r="AR28" s="15"/>
      <c r="AS28" s="15"/>
      <c r="AT28" s="5"/>
      <c r="AU28" s="4"/>
      <c r="BE28" s="19">
        <f t="shared" si="11"/>
        <v>1.6666666666666659E-2</v>
      </c>
      <c r="BF28" t="e">
        <f t="shared" ca="1" si="7"/>
        <v>#VALUE!</v>
      </c>
    </row>
    <row r="29" spans="1:58" ht="12" customHeight="1">
      <c r="A29" s="31" t="str">
        <f>LEFT('Input csv'!A126,10)</f>
        <v/>
      </c>
      <c r="B29" s="19" t="e">
        <f t="shared" si="8"/>
        <v>#VALUE!</v>
      </c>
      <c r="C29" s="3">
        <f>'Input csv'!B126</f>
        <v>0</v>
      </c>
      <c r="D29" s="3">
        <f>'Input csv'!C126</f>
        <v>0</v>
      </c>
      <c r="E29" s="3">
        <f>'Input csv'!D126</f>
        <v>0</v>
      </c>
      <c r="F29" s="4">
        <f>'Input csv'!E126</f>
        <v>0</v>
      </c>
      <c r="G29" s="4">
        <f>'Input csv'!F126</f>
        <v>0</v>
      </c>
      <c r="H29" s="5">
        <f>'Input csv'!G126</f>
        <v>0</v>
      </c>
      <c r="I29" s="4">
        <f>'Input csv'!H126</f>
        <v>0</v>
      </c>
      <c r="J29" s="4">
        <f>'Input csv'!I126</f>
        <v>0</v>
      </c>
      <c r="K29" s="4">
        <f>'Input csv'!J126</f>
        <v>0</v>
      </c>
      <c r="L29" s="4">
        <f>'Input csv'!K126</f>
        <v>0</v>
      </c>
      <c r="M29" s="4">
        <f>'Input csv'!L126</f>
        <v>0</v>
      </c>
      <c r="N29" s="63">
        <f t="shared" si="0"/>
        <v>0</v>
      </c>
      <c r="O29" s="13">
        <f t="shared" si="12"/>
        <v>0</v>
      </c>
      <c r="P29" s="4">
        <f t="shared" si="3"/>
        <v>0</v>
      </c>
      <c r="Q29">
        <f t="shared" si="1"/>
        <v>0</v>
      </c>
      <c r="R29">
        <f>MEDIAN($P$1:P88)</f>
        <v>0</v>
      </c>
      <c r="S29" t="b">
        <f t="shared" si="10"/>
        <v>1</v>
      </c>
      <c r="T29" s="15">
        <f t="shared" si="4"/>
        <v>0</v>
      </c>
      <c r="U29" s="15">
        <f>AVERAGE(T$4:T59)</f>
        <v>0</v>
      </c>
      <c r="V29" s="15">
        <f>MIN(U$4:U59)</f>
        <v>0</v>
      </c>
      <c r="W29" t="b">
        <f t="shared" si="5"/>
        <v>1</v>
      </c>
      <c r="X29">
        <f t="shared" si="2"/>
        <v>1</v>
      </c>
      <c r="Y29">
        <f t="shared" si="13"/>
        <v>12</v>
      </c>
      <c r="Z29">
        <f t="shared" si="6"/>
        <v>1</v>
      </c>
      <c r="AI29" s="15" t="str">
        <f t="shared" si="14"/>
        <v>0</v>
      </c>
      <c r="AK29" s="19"/>
      <c r="AM29" s="4"/>
      <c r="AN29" s="4"/>
      <c r="AO29" s="4"/>
      <c r="AP29" s="15"/>
      <c r="AQ29" s="15"/>
      <c r="AR29" s="15"/>
      <c r="AS29" s="15"/>
      <c r="AT29" s="5"/>
      <c r="AU29" s="4"/>
      <c r="BE29" s="19">
        <f t="shared" si="11"/>
        <v>1.7361111111111105E-2</v>
      </c>
      <c r="BF29" t="e">
        <f t="shared" ca="1" si="7"/>
        <v>#VALUE!</v>
      </c>
    </row>
    <row r="30" spans="1:58" ht="12" customHeight="1">
      <c r="A30" s="31" t="str">
        <f>LEFT('Input csv'!A127,10)</f>
        <v/>
      </c>
      <c r="B30" s="19" t="e">
        <f t="shared" si="8"/>
        <v>#VALUE!</v>
      </c>
      <c r="C30" s="3">
        <f>'Input csv'!B127</f>
        <v>0</v>
      </c>
      <c r="D30" s="3">
        <f>'Input csv'!C127</f>
        <v>0</v>
      </c>
      <c r="E30" s="3">
        <f>'Input csv'!D127</f>
        <v>0</v>
      </c>
      <c r="F30" s="4">
        <f>'Input csv'!E127</f>
        <v>0</v>
      </c>
      <c r="G30" s="4">
        <f>'Input csv'!F127</f>
        <v>0</v>
      </c>
      <c r="H30" s="5">
        <f>'Input csv'!G127</f>
        <v>0</v>
      </c>
      <c r="I30" s="4">
        <f>'Input csv'!H127</f>
        <v>0</v>
      </c>
      <c r="J30" s="4">
        <f>'Input csv'!I127</f>
        <v>0</v>
      </c>
      <c r="K30" s="4">
        <f>'Input csv'!J127</f>
        <v>0</v>
      </c>
      <c r="L30" s="4">
        <f>'Input csv'!K127</f>
        <v>0</v>
      </c>
      <c r="M30" s="4">
        <f>'Input csv'!L127</f>
        <v>0</v>
      </c>
      <c r="N30" s="63">
        <f t="shared" si="0"/>
        <v>0</v>
      </c>
      <c r="O30" s="13">
        <f t="shared" si="12"/>
        <v>0</v>
      </c>
      <c r="P30" s="4">
        <f t="shared" si="3"/>
        <v>0</v>
      </c>
      <c r="Q30">
        <f t="shared" si="1"/>
        <v>0</v>
      </c>
      <c r="R30">
        <f>MEDIAN($P$1:P89)</f>
        <v>0</v>
      </c>
      <c r="S30" t="b">
        <f t="shared" si="10"/>
        <v>1</v>
      </c>
      <c r="T30" s="15">
        <f t="shared" si="4"/>
        <v>0</v>
      </c>
      <c r="U30" s="15">
        <f>AVERAGE(T$4:T60)</f>
        <v>0</v>
      </c>
      <c r="V30" s="15">
        <f>MIN(U$4:U60)</f>
        <v>0</v>
      </c>
      <c r="W30" t="b">
        <f t="shared" si="5"/>
        <v>1</v>
      </c>
      <c r="X30">
        <f t="shared" si="2"/>
        <v>1</v>
      </c>
      <c r="Y30">
        <f t="shared" si="13"/>
        <v>12</v>
      </c>
      <c r="Z30">
        <f>IF(AND(S30=TRUE,Y30&gt;6), 1,0)</f>
        <v>1</v>
      </c>
      <c r="AI30" s="15" t="str">
        <f t="shared" si="14"/>
        <v>0</v>
      </c>
      <c r="AK30" s="19"/>
      <c r="AM30" s="4"/>
      <c r="AN30" s="4"/>
      <c r="AO30" s="4"/>
      <c r="AP30" s="15"/>
      <c r="AQ30" s="15"/>
      <c r="AR30" s="15"/>
      <c r="AS30" s="15"/>
      <c r="AT30" s="5"/>
      <c r="AU30" s="4"/>
      <c r="BE30" s="19">
        <f t="shared" si="11"/>
        <v>1.805555555555555E-2</v>
      </c>
      <c r="BF30" t="e">
        <f t="shared" ca="1" si="7"/>
        <v>#VALUE!</v>
      </c>
    </row>
    <row r="31" spans="1:58" ht="12" customHeight="1">
      <c r="A31" s="31" t="str">
        <f>LEFT('Input csv'!A128,10)</f>
        <v/>
      </c>
      <c r="B31" s="19" t="e">
        <f t="shared" si="8"/>
        <v>#VALUE!</v>
      </c>
      <c r="C31" s="3">
        <f>'Input csv'!B128</f>
        <v>0</v>
      </c>
      <c r="D31" s="3">
        <f>'Input csv'!C128</f>
        <v>0</v>
      </c>
      <c r="E31" s="3">
        <f>'Input csv'!D128</f>
        <v>0</v>
      </c>
      <c r="F31" s="4">
        <f>'Input csv'!E128</f>
        <v>0</v>
      </c>
      <c r="G31" s="4">
        <f>'Input csv'!F128</f>
        <v>0</v>
      </c>
      <c r="H31" s="5">
        <f>'Input csv'!G128</f>
        <v>0</v>
      </c>
      <c r="I31" s="4">
        <f>'Input csv'!H128</f>
        <v>0</v>
      </c>
      <c r="J31" s="4">
        <f>'Input csv'!I128</f>
        <v>0</v>
      </c>
      <c r="K31" s="4">
        <f>'Input csv'!J128</f>
        <v>0</v>
      </c>
      <c r="L31" s="4">
        <f>'Input csv'!K128</f>
        <v>0</v>
      </c>
      <c r="M31" s="4">
        <f>'Input csv'!L128</f>
        <v>0</v>
      </c>
      <c r="N31" s="63">
        <f t="shared" si="0"/>
        <v>0</v>
      </c>
      <c r="O31" s="13">
        <f t="shared" si="12"/>
        <v>0</v>
      </c>
      <c r="P31" s="4">
        <f t="shared" si="3"/>
        <v>0</v>
      </c>
      <c r="Q31">
        <f t="shared" si="1"/>
        <v>0</v>
      </c>
      <c r="R31">
        <f>MEDIAN($P$1:P90)</f>
        <v>0</v>
      </c>
      <c r="S31" t="b">
        <f t="shared" si="10"/>
        <v>1</v>
      </c>
      <c r="T31" s="15">
        <f t="shared" si="4"/>
        <v>0</v>
      </c>
      <c r="U31" s="15">
        <f>AVERAGE(T$4:T61)</f>
        <v>0</v>
      </c>
      <c r="V31" s="15">
        <f>MIN(U$4:U61)</f>
        <v>0</v>
      </c>
      <c r="W31" t="b">
        <f>V31&lt;$W$1</f>
        <v>1</v>
      </c>
      <c r="X31">
        <f t="shared" si="2"/>
        <v>1</v>
      </c>
      <c r="Y31">
        <f t="shared" si="13"/>
        <v>12</v>
      </c>
      <c r="Z31">
        <f t="shared" si="6"/>
        <v>1</v>
      </c>
      <c r="AI31" s="15" t="str">
        <f t="shared" si="14"/>
        <v>0</v>
      </c>
      <c r="AK31" s="19"/>
      <c r="AM31" s="4"/>
      <c r="AN31" s="4"/>
      <c r="AO31" s="4"/>
      <c r="AP31" s="15"/>
      <c r="AQ31" s="15"/>
      <c r="AR31" s="15"/>
      <c r="AS31" s="15"/>
      <c r="AT31" s="5"/>
      <c r="AU31" s="4"/>
      <c r="BE31" s="19">
        <f t="shared" si="11"/>
        <v>1.8749999999999996E-2</v>
      </c>
      <c r="BF31" t="e">
        <f t="shared" ca="1" si="7"/>
        <v>#VALUE!</v>
      </c>
    </row>
    <row r="32" spans="1:58" ht="12" customHeight="1">
      <c r="A32" s="31" t="str">
        <f>LEFT('Input csv'!A129,10)</f>
        <v/>
      </c>
      <c r="B32" s="19" t="e">
        <f t="shared" si="8"/>
        <v>#VALUE!</v>
      </c>
      <c r="C32" s="3">
        <f>'Input csv'!B129</f>
        <v>0</v>
      </c>
      <c r="D32" s="3">
        <f>'Input csv'!C129</f>
        <v>0</v>
      </c>
      <c r="E32" s="3">
        <f>'Input csv'!D129</f>
        <v>0</v>
      </c>
      <c r="F32" s="4">
        <f>'Input csv'!E129</f>
        <v>0</v>
      </c>
      <c r="G32" s="4">
        <f>'Input csv'!F129</f>
        <v>0</v>
      </c>
      <c r="H32" s="5">
        <f>'Input csv'!G129</f>
        <v>0</v>
      </c>
      <c r="I32" s="4">
        <f>'Input csv'!H129</f>
        <v>0</v>
      </c>
      <c r="J32" s="4">
        <f>'Input csv'!I129</f>
        <v>0</v>
      </c>
      <c r="K32" s="4">
        <f>'Input csv'!J129</f>
        <v>0</v>
      </c>
      <c r="L32" s="4">
        <f>'Input csv'!K129</f>
        <v>0</v>
      </c>
      <c r="M32" s="4">
        <f>'Input csv'!L129</f>
        <v>0</v>
      </c>
      <c r="N32" s="63">
        <f t="shared" si="0"/>
        <v>0</v>
      </c>
      <c r="O32" s="13">
        <f t="shared" si="12"/>
        <v>0</v>
      </c>
      <c r="P32" s="4">
        <f t="shared" si="3"/>
        <v>0</v>
      </c>
      <c r="Q32">
        <f t="shared" si="1"/>
        <v>0</v>
      </c>
      <c r="R32">
        <f>MEDIAN($P$1:P91)</f>
        <v>0</v>
      </c>
      <c r="S32" t="b">
        <f t="shared" si="10"/>
        <v>1</v>
      </c>
      <c r="T32" s="15">
        <f t="shared" si="4"/>
        <v>0</v>
      </c>
      <c r="U32" s="15">
        <f>AVERAGE(T$4:T62)</f>
        <v>0</v>
      </c>
      <c r="V32" s="15">
        <f>MIN(U$4:U62)</f>
        <v>0</v>
      </c>
      <c r="W32" t="b">
        <f t="shared" si="5"/>
        <v>1</v>
      </c>
      <c r="X32">
        <f t="shared" si="2"/>
        <v>1</v>
      </c>
      <c r="Y32">
        <f t="shared" si="13"/>
        <v>12</v>
      </c>
      <c r="Z32">
        <f t="shared" si="6"/>
        <v>1</v>
      </c>
      <c r="AI32" s="15" t="str">
        <f t="shared" si="14"/>
        <v>0</v>
      </c>
      <c r="AK32" s="19"/>
      <c r="AL32" s="4"/>
      <c r="AM32" s="4"/>
      <c r="AN32" s="4"/>
      <c r="AO32" s="4"/>
      <c r="AP32" s="15"/>
      <c r="AQ32" s="15"/>
      <c r="AR32" s="15"/>
      <c r="AS32" s="15"/>
      <c r="AT32" s="5"/>
      <c r="AU32" s="4"/>
      <c r="BE32" s="19">
        <f t="shared" si="11"/>
        <v>1.9444444444444441E-2</v>
      </c>
      <c r="BF32" t="e">
        <f t="shared" ca="1" si="7"/>
        <v>#VALUE!</v>
      </c>
    </row>
    <row r="33" spans="1:58" ht="12" customHeight="1">
      <c r="A33" s="31" t="str">
        <f>LEFT('Input csv'!A130,10)</f>
        <v/>
      </c>
      <c r="B33" s="19" t="e">
        <f t="shared" si="8"/>
        <v>#VALUE!</v>
      </c>
      <c r="C33" s="3">
        <f>'Input csv'!B130</f>
        <v>0</v>
      </c>
      <c r="D33" s="3">
        <f>'Input csv'!C130</f>
        <v>0</v>
      </c>
      <c r="E33" s="3">
        <f>'Input csv'!D130</f>
        <v>0</v>
      </c>
      <c r="F33" s="4">
        <f>'Input csv'!E130</f>
        <v>0</v>
      </c>
      <c r="G33" s="4">
        <f>'Input csv'!F130</f>
        <v>0</v>
      </c>
      <c r="H33" s="5">
        <f>'Input csv'!G130</f>
        <v>0</v>
      </c>
      <c r="I33" s="4">
        <f>'Input csv'!H130</f>
        <v>0</v>
      </c>
      <c r="J33" s="4">
        <f>'Input csv'!I130</f>
        <v>0</v>
      </c>
      <c r="K33" s="4">
        <f>'Input csv'!J130</f>
        <v>0</v>
      </c>
      <c r="L33" s="4">
        <f>'Input csv'!K130</f>
        <v>0</v>
      </c>
      <c r="M33" s="4">
        <f>'Input csv'!L130</f>
        <v>0</v>
      </c>
      <c r="N33" s="63">
        <f t="shared" si="0"/>
        <v>0</v>
      </c>
      <c r="O33" s="13">
        <f t="shared" si="12"/>
        <v>0</v>
      </c>
      <c r="P33" s="4">
        <f t="shared" si="3"/>
        <v>0</v>
      </c>
      <c r="Q33">
        <f t="shared" si="1"/>
        <v>0</v>
      </c>
      <c r="R33">
        <f>MEDIAN($P$1:P92)</f>
        <v>0</v>
      </c>
      <c r="S33" t="b">
        <f t="shared" si="10"/>
        <v>1</v>
      </c>
      <c r="T33" s="15">
        <f t="shared" si="4"/>
        <v>0</v>
      </c>
      <c r="U33" s="15">
        <f>AVERAGE(T4:T63)</f>
        <v>0</v>
      </c>
      <c r="V33" s="15">
        <f>MIN(U4:U63)</f>
        <v>0</v>
      </c>
      <c r="W33" t="b">
        <f t="shared" si="5"/>
        <v>1</v>
      </c>
      <c r="X33">
        <f t="shared" si="2"/>
        <v>1</v>
      </c>
      <c r="Y33">
        <f t="shared" si="13"/>
        <v>12</v>
      </c>
      <c r="Z33">
        <f t="shared" si="6"/>
        <v>1</v>
      </c>
      <c r="AI33" s="15" t="str">
        <f t="shared" si="14"/>
        <v>0</v>
      </c>
      <c r="AK33" s="19"/>
      <c r="AL33" s="4"/>
      <c r="AM33" s="4"/>
      <c r="AN33" s="4"/>
      <c r="AO33" s="4"/>
      <c r="AP33" s="15"/>
      <c r="AQ33" s="15"/>
      <c r="AR33" s="15"/>
      <c r="AS33" s="15"/>
      <c r="AT33" s="5"/>
      <c r="AU33" s="4"/>
      <c r="BE33" s="19">
        <f t="shared" si="11"/>
        <v>2.0138888888888887E-2</v>
      </c>
      <c r="BF33" t="e">
        <f t="shared" ca="1" si="7"/>
        <v>#VALUE!</v>
      </c>
    </row>
    <row r="34" spans="1:58" ht="12" customHeight="1">
      <c r="A34" s="31" t="str">
        <f>LEFT('Input csv'!A131,10)</f>
        <v/>
      </c>
      <c r="B34" s="19" t="e">
        <f t="shared" si="8"/>
        <v>#VALUE!</v>
      </c>
      <c r="C34" s="3">
        <f>'Input csv'!B131</f>
        <v>0</v>
      </c>
      <c r="D34" s="3">
        <f>'Input csv'!C131</f>
        <v>0</v>
      </c>
      <c r="E34" s="3">
        <f>'Input csv'!D131</f>
        <v>0</v>
      </c>
      <c r="F34" s="4">
        <f>'Input csv'!E131</f>
        <v>0</v>
      </c>
      <c r="G34" s="4">
        <f>'Input csv'!F131</f>
        <v>0</v>
      </c>
      <c r="H34" s="5">
        <f>'Input csv'!G131</f>
        <v>0</v>
      </c>
      <c r="I34" s="4">
        <f>'Input csv'!H131</f>
        <v>0</v>
      </c>
      <c r="J34" s="4">
        <f>'Input csv'!I131</f>
        <v>0</v>
      </c>
      <c r="K34" s="4">
        <f>'Input csv'!J131</f>
        <v>0</v>
      </c>
      <c r="L34" s="4">
        <f>'Input csv'!K131</f>
        <v>0</v>
      </c>
      <c r="M34" s="4">
        <f>'Input csv'!L131</f>
        <v>0</v>
      </c>
      <c r="N34" s="63">
        <f t="shared" si="0"/>
        <v>0</v>
      </c>
      <c r="O34" s="13">
        <f t="shared" ref="O34:O65" si="15">SQRT(ABS(C33-C34+D33-D34+E33-E34))</f>
        <v>0</v>
      </c>
      <c r="P34" s="4">
        <f t="shared" si="3"/>
        <v>0</v>
      </c>
      <c r="Q34">
        <f t="shared" si="1"/>
        <v>0</v>
      </c>
      <c r="R34">
        <f>MEDIAN($P$1:P93)</f>
        <v>0</v>
      </c>
      <c r="S34" t="b">
        <f t="shared" si="10"/>
        <v>1</v>
      </c>
      <c r="T34" s="15">
        <f t="shared" ref="T34:T65" si="16">O34*I34</f>
        <v>0</v>
      </c>
      <c r="U34" s="15">
        <f t="shared" ref="U34:U65" si="17">AVERAGE(T5:T64)</f>
        <v>0</v>
      </c>
      <c r="V34" s="15">
        <f t="shared" ref="V34:V65" si="18">MIN(U5:U64)</f>
        <v>0</v>
      </c>
      <c r="W34" t="b">
        <f t="shared" ref="W34:W65" si="19">V34&lt;$W$1</f>
        <v>1</v>
      </c>
      <c r="X34">
        <f t="shared" si="2"/>
        <v>1</v>
      </c>
      <c r="Y34">
        <f t="shared" si="13"/>
        <v>12</v>
      </c>
      <c r="Z34">
        <f t="shared" si="6"/>
        <v>1</v>
      </c>
      <c r="AI34" s="15" t="str">
        <f t="shared" si="14"/>
        <v>0</v>
      </c>
      <c r="BE34" s="19">
        <f t="shared" si="11"/>
        <v>2.0833333333333332E-2</v>
      </c>
      <c r="BF34" t="e">
        <f t="shared" ca="1" si="7"/>
        <v>#VALUE!</v>
      </c>
    </row>
    <row r="35" spans="1:58" ht="12" customHeight="1">
      <c r="A35" s="31" t="str">
        <f>LEFT('Input csv'!A132,10)</f>
        <v/>
      </c>
      <c r="B35" s="19" t="e">
        <f t="shared" si="8"/>
        <v>#VALUE!</v>
      </c>
      <c r="C35" s="3">
        <f>'Input csv'!B132</f>
        <v>0</v>
      </c>
      <c r="D35" s="3">
        <f>'Input csv'!C132</f>
        <v>0</v>
      </c>
      <c r="E35" s="3">
        <f>'Input csv'!D132</f>
        <v>0</v>
      </c>
      <c r="F35" s="4">
        <f>'Input csv'!E132</f>
        <v>0</v>
      </c>
      <c r="G35" s="4">
        <f>'Input csv'!F132</f>
        <v>0</v>
      </c>
      <c r="H35" s="5">
        <f>'Input csv'!G132</f>
        <v>0</v>
      </c>
      <c r="I35" s="4">
        <f>'Input csv'!H132</f>
        <v>0</v>
      </c>
      <c r="J35" s="4">
        <f>'Input csv'!I132</f>
        <v>0</v>
      </c>
      <c r="K35" s="4">
        <f>'Input csv'!J132</f>
        <v>0</v>
      </c>
      <c r="L35" s="4">
        <f>'Input csv'!K132</f>
        <v>0</v>
      </c>
      <c r="M35" s="4">
        <f>'Input csv'!L132</f>
        <v>0</v>
      </c>
      <c r="N35" s="63">
        <f t="shared" si="0"/>
        <v>0</v>
      </c>
      <c r="O35" s="13">
        <f t="shared" si="15"/>
        <v>0</v>
      </c>
      <c r="P35" s="4">
        <f t="shared" si="3"/>
        <v>0</v>
      </c>
      <c r="Q35">
        <f t="shared" si="1"/>
        <v>0</v>
      </c>
      <c r="R35">
        <f>MEDIAN($P$1:P94)</f>
        <v>0</v>
      </c>
      <c r="S35" t="b">
        <f t="shared" si="10"/>
        <v>1</v>
      </c>
      <c r="T35" s="15">
        <f t="shared" si="16"/>
        <v>0</v>
      </c>
      <c r="U35" s="15">
        <f t="shared" si="17"/>
        <v>0</v>
      </c>
      <c r="V35" s="15">
        <f t="shared" si="18"/>
        <v>0</v>
      </c>
      <c r="W35" t="b">
        <f t="shared" si="19"/>
        <v>1</v>
      </c>
      <c r="X35">
        <f t="shared" si="2"/>
        <v>1</v>
      </c>
      <c r="Y35">
        <f t="shared" si="13"/>
        <v>12</v>
      </c>
      <c r="Z35">
        <f t="shared" si="6"/>
        <v>1</v>
      </c>
      <c r="AI35" s="15" t="str">
        <f t="shared" si="14"/>
        <v>0</v>
      </c>
      <c r="BE35" s="19">
        <f t="shared" si="11"/>
        <v>2.1527777777777778E-2</v>
      </c>
      <c r="BF35" t="e">
        <f t="shared" ca="1" si="7"/>
        <v>#VALUE!</v>
      </c>
    </row>
    <row r="36" spans="1:58" ht="12" customHeight="1">
      <c r="A36" s="31" t="str">
        <f>LEFT('Input csv'!A133,10)</f>
        <v/>
      </c>
      <c r="B36" s="19" t="e">
        <f t="shared" si="8"/>
        <v>#VALUE!</v>
      </c>
      <c r="C36" s="3">
        <f>'Input csv'!B133</f>
        <v>0</v>
      </c>
      <c r="D36" s="3">
        <f>'Input csv'!C133</f>
        <v>0</v>
      </c>
      <c r="E36" s="3">
        <f>'Input csv'!D133</f>
        <v>0</v>
      </c>
      <c r="F36" s="4">
        <f>'Input csv'!E133</f>
        <v>0</v>
      </c>
      <c r="G36" s="4">
        <f>'Input csv'!F133</f>
        <v>0</v>
      </c>
      <c r="H36" s="5">
        <f>'Input csv'!G133</f>
        <v>0</v>
      </c>
      <c r="I36" s="4">
        <f>'Input csv'!H133</f>
        <v>0</v>
      </c>
      <c r="J36" s="4">
        <f>'Input csv'!I133</f>
        <v>0</v>
      </c>
      <c r="K36" s="4">
        <f>'Input csv'!J133</f>
        <v>0</v>
      </c>
      <c r="L36" s="4">
        <f>'Input csv'!K133</f>
        <v>0</v>
      </c>
      <c r="M36" s="4">
        <f>'Input csv'!L133</f>
        <v>0</v>
      </c>
      <c r="N36" s="63">
        <f t="shared" si="0"/>
        <v>0</v>
      </c>
      <c r="O36" s="13">
        <f t="shared" si="15"/>
        <v>0</v>
      </c>
      <c r="P36" s="4">
        <f t="shared" si="3"/>
        <v>0</v>
      </c>
      <c r="Q36">
        <f t="shared" ref="Q36:Q65" si="20">(O36*I36)*(100/frequency)</f>
        <v>0</v>
      </c>
      <c r="R36">
        <f>MEDIAN($P$1:P95)</f>
        <v>0</v>
      </c>
      <c r="S36" t="b">
        <f t="shared" si="10"/>
        <v>1</v>
      </c>
      <c r="T36" s="15">
        <f t="shared" si="16"/>
        <v>0</v>
      </c>
      <c r="U36" s="15">
        <f t="shared" si="17"/>
        <v>0</v>
      </c>
      <c r="V36" s="15">
        <f t="shared" si="18"/>
        <v>0</v>
      </c>
      <c r="W36" t="b">
        <f t="shared" si="19"/>
        <v>1</v>
      </c>
      <c r="X36">
        <f t="shared" ref="X36:X65" si="21">IF(Q36&lt;ss,1,0)</f>
        <v>1</v>
      </c>
      <c r="Y36">
        <f t="shared" si="13"/>
        <v>12</v>
      </c>
      <c r="Z36">
        <f t="shared" si="6"/>
        <v>1</v>
      </c>
      <c r="AI36" s="15" t="str">
        <f t="shared" si="14"/>
        <v>0</v>
      </c>
      <c r="BE36" s="19">
        <f t="shared" si="11"/>
        <v>2.2222222222222223E-2</v>
      </c>
      <c r="BF36" t="e">
        <f t="shared" ca="1" si="7"/>
        <v>#VALUE!</v>
      </c>
    </row>
    <row r="37" spans="1:58" ht="12" customHeight="1">
      <c r="A37" s="31" t="str">
        <f>LEFT('Input csv'!A134,10)</f>
        <v/>
      </c>
      <c r="B37" s="19" t="e">
        <f t="shared" si="8"/>
        <v>#VALUE!</v>
      </c>
      <c r="C37" s="3">
        <f>'Input csv'!B134</f>
        <v>0</v>
      </c>
      <c r="D37" s="3">
        <f>'Input csv'!C134</f>
        <v>0</v>
      </c>
      <c r="E37" s="3">
        <f>'Input csv'!D134</f>
        <v>0</v>
      </c>
      <c r="F37" s="4">
        <f>'Input csv'!E134</f>
        <v>0</v>
      </c>
      <c r="G37" s="4">
        <f>'Input csv'!F134</f>
        <v>0</v>
      </c>
      <c r="H37" s="5">
        <f>'Input csv'!G134</f>
        <v>0</v>
      </c>
      <c r="I37" s="4">
        <f>'Input csv'!H134</f>
        <v>0</v>
      </c>
      <c r="J37" s="4">
        <f>'Input csv'!I134</f>
        <v>0</v>
      </c>
      <c r="K37" s="4">
        <f>'Input csv'!J134</f>
        <v>0</v>
      </c>
      <c r="L37" s="4">
        <f>'Input csv'!K134</f>
        <v>0</v>
      </c>
      <c r="M37" s="4">
        <f>'Input csv'!L134</f>
        <v>0</v>
      </c>
      <c r="N37" s="63">
        <f t="shared" si="0"/>
        <v>0</v>
      </c>
      <c r="O37" s="13">
        <f t="shared" si="15"/>
        <v>0</v>
      </c>
      <c r="P37" s="4">
        <f t="shared" si="3"/>
        <v>0</v>
      </c>
      <c r="Q37">
        <f t="shared" si="20"/>
        <v>0</v>
      </c>
      <c r="R37">
        <f>MEDIAN($P$1:P96)</f>
        <v>0</v>
      </c>
      <c r="S37" t="b">
        <f t="shared" si="10"/>
        <v>1</v>
      </c>
      <c r="T37" s="15">
        <f t="shared" si="16"/>
        <v>0</v>
      </c>
      <c r="U37" s="15">
        <f t="shared" si="17"/>
        <v>0</v>
      </c>
      <c r="V37" s="15">
        <f t="shared" si="18"/>
        <v>0</v>
      </c>
      <c r="W37" t="b">
        <f t="shared" si="19"/>
        <v>1</v>
      </c>
      <c r="X37">
        <f t="shared" si="21"/>
        <v>1</v>
      </c>
      <c r="Y37">
        <f t="shared" si="13"/>
        <v>12</v>
      </c>
      <c r="Z37">
        <f t="shared" si="6"/>
        <v>1</v>
      </c>
      <c r="AI37" s="15" t="str">
        <f t="shared" si="14"/>
        <v>0</v>
      </c>
      <c r="BE37" s="19">
        <f t="shared" si="11"/>
        <v>2.2916666666666669E-2</v>
      </c>
      <c r="BF37" t="e">
        <f t="shared" ca="1" si="7"/>
        <v>#VALUE!</v>
      </c>
    </row>
    <row r="38" spans="1:58" ht="12" customHeight="1">
      <c r="A38" s="31" t="str">
        <f>LEFT('Input csv'!A135,10)</f>
        <v/>
      </c>
      <c r="B38" s="19" t="e">
        <f t="shared" si="8"/>
        <v>#VALUE!</v>
      </c>
      <c r="C38" s="3">
        <f>'Input csv'!B135</f>
        <v>0</v>
      </c>
      <c r="D38" s="3">
        <f>'Input csv'!C135</f>
        <v>0</v>
      </c>
      <c r="E38" s="3">
        <f>'Input csv'!D135</f>
        <v>0</v>
      </c>
      <c r="F38" s="4">
        <f>'Input csv'!E135</f>
        <v>0</v>
      </c>
      <c r="G38" s="4">
        <f>'Input csv'!F135</f>
        <v>0</v>
      </c>
      <c r="H38" s="5">
        <f>'Input csv'!G135</f>
        <v>0</v>
      </c>
      <c r="I38" s="4">
        <f>'Input csv'!H135</f>
        <v>0</v>
      </c>
      <c r="J38" s="4">
        <f>'Input csv'!I135</f>
        <v>0</v>
      </c>
      <c r="K38" s="4">
        <f>'Input csv'!J135</f>
        <v>0</v>
      </c>
      <c r="L38" s="4">
        <f>'Input csv'!K135</f>
        <v>0</v>
      </c>
      <c r="M38" s="4">
        <f>'Input csv'!L135</f>
        <v>0</v>
      </c>
      <c r="N38" s="63">
        <f t="shared" si="0"/>
        <v>0</v>
      </c>
      <c r="O38" s="13">
        <f t="shared" si="15"/>
        <v>0</v>
      </c>
      <c r="P38" s="4">
        <f t="shared" si="3"/>
        <v>0</v>
      </c>
      <c r="Q38">
        <f t="shared" si="20"/>
        <v>0</v>
      </c>
      <c r="R38">
        <f>MEDIAN($P$1:P97)</f>
        <v>0</v>
      </c>
      <c r="S38" t="b">
        <f t="shared" si="10"/>
        <v>1</v>
      </c>
      <c r="T38" s="15">
        <f t="shared" si="16"/>
        <v>0</v>
      </c>
      <c r="U38" s="15">
        <f t="shared" si="17"/>
        <v>0</v>
      </c>
      <c r="V38" s="15">
        <f t="shared" si="18"/>
        <v>0</v>
      </c>
      <c r="W38" t="b">
        <f t="shared" si="19"/>
        <v>1</v>
      </c>
      <c r="X38">
        <f t="shared" si="21"/>
        <v>1</v>
      </c>
      <c r="Y38">
        <f t="shared" si="13"/>
        <v>12</v>
      </c>
      <c r="Z38">
        <f t="shared" si="6"/>
        <v>1</v>
      </c>
      <c r="AI38" s="15" t="str">
        <f t="shared" si="14"/>
        <v>0</v>
      </c>
      <c r="BE38" s="19">
        <f t="shared" si="11"/>
        <v>2.3611111111111114E-2</v>
      </c>
      <c r="BF38" t="e">
        <f t="shared" ca="1" si="7"/>
        <v>#VALUE!</v>
      </c>
    </row>
    <row r="39" spans="1:58" ht="12" customHeight="1">
      <c r="A39" s="31" t="str">
        <f>LEFT('Input csv'!A136,10)</f>
        <v/>
      </c>
      <c r="B39" s="19" t="e">
        <f t="shared" si="8"/>
        <v>#VALUE!</v>
      </c>
      <c r="C39" s="3">
        <f>'Input csv'!B136</f>
        <v>0</v>
      </c>
      <c r="D39" s="3">
        <f>'Input csv'!C136</f>
        <v>0</v>
      </c>
      <c r="E39" s="3">
        <f>'Input csv'!D136</f>
        <v>0</v>
      </c>
      <c r="F39" s="4">
        <f>'Input csv'!E136</f>
        <v>0</v>
      </c>
      <c r="G39" s="4">
        <f>'Input csv'!F136</f>
        <v>0</v>
      </c>
      <c r="H39" s="5">
        <f>'Input csv'!G136</f>
        <v>0</v>
      </c>
      <c r="I39" s="4">
        <f>'Input csv'!H136</f>
        <v>0</v>
      </c>
      <c r="J39" s="4">
        <f>'Input csv'!I136</f>
        <v>0</v>
      </c>
      <c r="K39" s="4">
        <f>'Input csv'!J136</f>
        <v>0</v>
      </c>
      <c r="L39" s="4">
        <f>'Input csv'!K136</f>
        <v>0</v>
      </c>
      <c r="M39" s="4">
        <f>'Input csv'!L136</f>
        <v>0</v>
      </c>
      <c r="N39" s="63">
        <f t="shared" si="0"/>
        <v>0</v>
      </c>
      <c r="O39" s="13">
        <f t="shared" si="15"/>
        <v>0</v>
      </c>
      <c r="P39" s="4">
        <f t="shared" si="3"/>
        <v>0</v>
      </c>
      <c r="Q39">
        <f t="shared" si="20"/>
        <v>0</v>
      </c>
      <c r="R39">
        <f>MEDIAN($P$1:P98)</f>
        <v>0</v>
      </c>
      <c r="S39" t="b">
        <f t="shared" si="10"/>
        <v>1</v>
      </c>
      <c r="T39" s="15">
        <f t="shared" si="16"/>
        <v>0</v>
      </c>
      <c r="U39" s="15">
        <f t="shared" si="17"/>
        <v>0</v>
      </c>
      <c r="V39" s="15">
        <f t="shared" si="18"/>
        <v>0</v>
      </c>
      <c r="W39" t="b">
        <f t="shared" si="19"/>
        <v>1</v>
      </c>
      <c r="X39">
        <f t="shared" si="21"/>
        <v>1</v>
      </c>
      <c r="Y39">
        <f t="shared" si="13"/>
        <v>12</v>
      </c>
      <c r="Z39">
        <f t="shared" si="6"/>
        <v>1</v>
      </c>
      <c r="AI39" s="15" t="str">
        <f t="shared" si="14"/>
        <v>0</v>
      </c>
      <c r="BE39" s="19">
        <f t="shared" si="11"/>
        <v>2.4305555555555559E-2</v>
      </c>
      <c r="BF39" t="e">
        <f t="shared" ca="1" si="7"/>
        <v>#VALUE!</v>
      </c>
    </row>
    <row r="40" spans="1:58" ht="12" customHeight="1">
      <c r="A40" s="31" t="str">
        <f>LEFT('Input csv'!A137,10)</f>
        <v/>
      </c>
      <c r="B40" s="19" t="e">
        <f t="shared" si="8"/>
        <v>#VALUE!</v>
      </c>
      <c r="C40" s="3">
        <f>'Input csv'!B137</f>
        <v>0</v>
      </c>
      <c r="D40" s="3">
        <f>'Input csv'!C137</f>
        <v>0</v>
      </c>
      <c r="E40" s="3">
        <f>'Input csv'!D137</f>
        <v>0</v>
      </c>
      <c r="F40" s="4">
        <f>'Input csv'!E137</f>
        <v>0</v>
      </c>
      <c r="G40" s="4">
        <f>'Input csv'!F137</f>
        <v>0</v>
      </c>
      <c r="H40" s="5">
        <f>'Input csv'!G137</f>
        <v>0</v>
      </c>
      <c r="I40" s="4">
        <f>'Input csv'!H137</f>
        <v>0</v>
      </c>
      <c r="J40" s="4">
        <f>'Input csv'!I137</f>
        <v>0</v>
      </c>
      <c r="K40" s="4">
        <f>'Input csv'!J137</f>
        <v>0</v>
      </c>
      <c r="L40" s="4">
        <f>'Input csv'!K137</f>
        <v>0</v>
      </c>
      <c r="M40" s="4">
        <f>'Input csv'!L137</f>
        <v>0</v>
      </c>
      <c r="N40" s="63">
        <f t="shared" si="0"/>
        <v>0</v>
      </c>
      <c r="O40" s="13">
        <f t="shared" si="15"/>
        <v>0</v>
      </c>
      <c r="P40" s="4">
        <f t="shared" si="3"/>
        <v>0</v>
      </c>
      <c r="Q40">
        <f t="shared" si="20"/>
        <v>0</v>
      </c>
      <c r="R40">
        <f>MEDIAN($P$1:P99)</f>
        <v>0</v>
      </c>
      <c r="S40" t="b">
        <f t="shared" si="10"/>
        <v>1</v>
      </c>
      <c r="T40" s="15">
        <f t="shared" si="16"/>
        <v>0</v>
      </c>
      <c r="U40" s="15">
        <f t="shared" si="17"/>
        <v>0</v>
      </c>
      <c r="V40" s="15">
        <f t="shared" si="18"/>
        <v>0</v>
      </c>
      <c r="W40" t="b">
        <f t="shared" si="19"/>
        <v>1</v>
      </c>
      <c r="X40">
        <f t="shared" si="21"/>
        <v>1</v>
      </c>
      <c r="Y40">
        <f t="shared" si="13"/>
        <v>12</v>
      </c>
      <c r="Z40">
        <f t="shared" si="6"/>
        <v>1</v>
      </c>
      <c r="AI40" s="15" t="str">
        <f t="shared" si="14"/>
        <v>0</v>
      </c>
      <c r="BE40" s="19">
        <f t="shared" si="11"/>
        <v>2.5000000000000005E-2</v>
      </c>
      <c r="BF40" t="e">
        <f t="shared" ca="1" si="7"/>
        <v>#VALUE!</v>
      </c>
    </row>
    <row r="41" spans="1:58" ht="12" customHeight="1">
      <c r="A41" s="31" t="str">
        <f>LEFT('Input csv'!A138,10)</f>
        <v/>
      </c>
      <c r="B41" s="19" t="e">
        <f t="shared" si="8"/>
        <v>#VALUE!</v>
      </c>
      <c r="C41" s="3">
        <f>'Input csv'!B138</f>
        <v>0</v>
      </c>
      <c r="D41" s="3">
        <f>'Input csv'!C138</f>
        <v>0</v>
      </c>
      <c r="E41" s="3">
        <f>'Input csv'!D138</f>
        <v>0</v>
      </c>
      <c r="F41" s="4">
        <f>'Input csv'!E138</f>
        <v>0</v>
      </c>
      <c r="G41" s="4">
        <f>'Input csv'!F138</f>
        <v>0</v>
      </c>
      <c r="H41" s="5">
        <f>'Input csv'!G138</f>
        <v>0</v>
      </c>
      <c r="I41" s="4">
        <f>'Input csv'!H138</f>
        <v>0</v>
      </c>
      <c r="J41" s="4">
        <f>'Input csv'!I138</f>
        <v>0</v>
      </c>
      <c r="K41" s="4">
        <f>'Input csv'!J138</f>
        <v>0</v>
      </c>
      <c r="L41" s="4">
        <f>'Input csv'!K138</f>
        <v>0</v>
      </c>
      <c r="M41" s="4">
        <f>'Input csv'!L138</f>
        <v>0</v>
      </c>
      <c r="N41" s="63">
        <f t="shared" si="0"/>
        <v>0</v>
      </c>
      <c r="O41" s="13">
        <f t="shared" si="15"/>
        <v>0</v>
      </c>
      <c r="P41" s="4">
        <f t="shared" si="3"/>
        <v>0</v>
      </c>
      <c r="Q41">
        <f t="shared" si="20"/>
        <v>0</v>
      </c>
      <c r="R41">
        <f>MEDIAN($P$1:P100)</f>
        <v>0</v>
      </c>
      <c r="S41" t="b">
        <f t="shared" si="10"/>
        <v>1</v>
      </c>
      <c r="T41" s="15">
        <f t="shared" si="16"/>
        <v>0</v>
      </c>
      <c r="U41" s="15">
        <f t="shared" si="17"/>
        <v>0</v>
      </c>
      <c r="V41" s="15">
        <f t="shared" si="18"/>
        <v>0</v>
      </c>
      <c r="W41" t="b">
        <f t="shared" si="19"/>
        <v>1</v>
      </c>
      <c r="X41">
        <f t="shared" si="21"/>
        <v>1</v>
      </c>
      <c r="Y41">
        <f t="shared" si="13"/>
        <v>12</v>
      </c>
      <c r="Z41">
        <f t="shared" si="6"/>
        <v>1</v>
      </c>
      <c r="AI41" s="15" t="str">
        <f t="shared" si="14"/>
        <v>0</v>
      </c>
      <c r="BE41" s="19">
        <f t="shared" si="11"/>
        <v>2.569444444444445E-2</v>
      </c>
      <c r="BF41" t="e">
        <f t="shared" ca="1" si="7"/>
        <v>#VALUE!</v>
      </c>
    </row>
    <row r="42" spans="1:58" ht="12" customHeight="1">
      <c r="A42" s="31" t="str">
        <f>LEFT('Input csv'!A139,10)</f>
        <v/>
      </c>
      <c r="B42" s="19" t="e">
        <f t="shared" si="8"/>
        <v>#VALUE!</v>
      </c>
      <c r="C42" s="3">
        <f>'Input csv'!B139</f>
        <v>0</v>
      </c>
      <c r="D42" s="3">
        <f>'Input csv'!C139</f>
        <v>0</v>
      </c>
      <c r="E42" s="3">
        <f>'Input csv'!D139</f>
        <v>0</v>
      </c>
      <c r="F42" s="4">
        <f>'Input csv'!E139</f>
        <v>0</v>
      </c>
      <c r="G42" s="4">
        <f>'Input csv'!F139</f>
        <v>0</v>
      </c>
      <c r="H42" s="5">
        <f>'Input csv'!G139</f>
        <v>0</v>
      </c>
      <c r="I42" s="4">
        <f>'Input csv'!H139</f>
        <v>0</v>
      </c>
      <c r="J42" s="4">
        <f>'Input csv'!I139</f>
        <v>0</v>
      </c>
      <c r="K42" s="4">
        <f>'Input csv'!J139</f>
        <v>0</v>
      </c>
      <c r="L42" s="4">
        <f>'Input csv'!K139</f>
        <v>0</v>
      </c>
      <c r="M42" s="4">
        <f>'Input csv'!L139</f>
        <v>0</v>
      </c>
      <c r="N42" s="63">
        <f t="shared" si="0"/>
        <v>0</v>
      </c>
      <c r="O42" s="13">
        <f t="shared" si="15"/>
        <v>0</v>
      </c>
      <c r="P42" s="4">
        <f t="shared" si="3"/>
        <v>0</v>
      </c>
      <c r="Q42">
        <f t="shared" si="20"/>
        <v>0</v>
      </c>
      <c r="R42">
        <f>MEDIAN($P$1:P101)</f>
        <v>0</v>
      </c>
      <c r="S42" t="b">
        <f t="shared" si="10"/>
        <v>1</v>
      </c>
      <c r="T42" s="15">
        <f t="shared" si="16"/>
        <v>0</v>
      </c>
      <c r="U42" s="15">
        <f t="shared" si="17"/>
        <v>0</v>
      </c>
      <c r="V42" s="15">
        <f t="shared" si="18"/>
        <v>0</v>
      </c>
      <c r="W42" t="b">
        <f t="shared" si="19"/>
        <v>1</v>
      </c>
      <c r="X42">
        <f t="shared" si="21"/>
        <v>1</v>
      </c>
      <c r="Y42">
        <f t="shared" si="13"/>
        <v>12</v>
      </c>
      <c r="Z42">
        <f t="shared" si="6"/>
        <v>1</v>
      </c>
      <c r="AI42" s="15" t="str">
        <f t="shared" si="14"/>
        <v>0</v>
      </c>
      <c r="BE42" s="19">
        <f t="shared" si="11"/>
        <v>2.6388888888888896E-2</v>
      </c>
      <c r="BF42" t="e">
        <f t="shared" ca="1" si="7"/>
        <v>#VALUE!</v>
      </c>
    </row>
    <row r="43" spans="1:58" ht="12" customHeight="1">
      <c r="A43" s="31" t="str">
        <f>LEFT('Input csv'!A140,10)</f>
        <v/>
      </c>
      <c r="B43" s="19" t="e">
        <f t="shared" si="8"/>
        <v>#VALUE!</v>
      </c>
      <c r="C43" s="3">
        <f>'Input csv'!B140</f>
        <v>0</v>
      </c>
      <c r="D43" s="3">
        <f>'Input csv'!C140</f>
        <v>0</v>
      </c>
      <c r="E43" s="3">
        <f>'Input csv'!D140</f>
        <v>0</v>
      </c>
      <c r="F43" s="4">
        <f>'Input csv'!E140</f>
        <v>0</v>
      </c>
      <c r="G43" s="4">
        <f>'Input csv'!F140</f>
        <v>0</v>
      </c>
      <c r="H43" s="5">
        <f>'Input csv'!G140</f>
        <v>0</v>
      </c>
      <c r="I43" s="4">
        <f>'Input csv'!H140</f>
        <v>0</v>
      </c>
      <c r="J43" s="4">
        <f>'Input csv'!I140</f>
        <v>0</v>
      </c>
      <c r="K43" s="4">
        <f>'Input csv'!J140</f>
        <v>0</v>
      </c>
      <c r="L43" s="4">
        <f>'Input csv'!K140</f>
        <v>0</v>
      </c>
      <c r="M43" s="4">
        <f>'Input csv'!L140</f>
        <v>0</v>
      </c>
      <c r="N43" s="63">
        <f t="shared" si="0"/>
        <v>0</v>
      </c>
      <c r="O43" s="13">
        <f t="shared" si="15"/>
        <v>0</v>
      </c>
      <c r="P43" s="4">
        <f t="shared" si="3"/>
        <v>0</v>
      </c>
      <c r="Q43">
        <f t="shared" si="20"/>
        <v>0</v>
      </c>
      <c r="R43">
        <f>MEDIAN($P$1:P102)</f>
        <v>0</v>
      </c>
      <c r="S43" t="b">
        <f t="shared" si="10"/>
        <v>1</v>
      </c>
      <c r="T43" s="15">
        <f t="shared" si="16"/>
        <v>0</v>
      </c>
      <c r="U43" s="15">
        <f t="shared" si="17"/>
        <v>0</v>
      </c>
      <c r="V43" s="15">
        <f t="shared" si="18"/>
        <v>0</v>
      </c>
      <c r="W43" t="b">
        <f t="shared" si="19"/>
        <v>1</v>
      </c>
      <c r="X43">
        <f t="shared" si="21"/>
        <v>1</v>
      </c>
      <c r="Y43">
        <f t="shared" si="13"/>
        <v>12</v>
      </c>
      <c r="Z43">
        <f t="shared" si="6"/>
        <v>1</v>
      </c>
      <c r="AI43" s="15" t="str">
        <f t="shared" si="14"/>
        <v>0</v>
      </c>
      <c r="BE43" s="19">
        <f t="shared" si="11"/>
        <v>2.7083333333333341E-2</v>
      </c>
      <c r="BF43" t="e">
        <f t="shared" ca="1" si="7"/>
        <v>#VALUE!</v>
      </c>
    </row>
    <row r="44" spans="1:58" ht="12" customHeight="1">
      <c r="A44" s="31" t="str">
        <f>LEFT('Input csv'!A141,10)</f>
        <v/>
      </c>
      <c r="B44" s="19" t="e">
        <f t="shared" si="8"/>
        <v>#VALUE!</v>
      </c>
      <c r="C44" s="3">
        <f>'Input csv'!B141</f>
        <v>0</v>
      </c>
      <c r="D44" s="3">
        <f>'Input csv'!C141</f>
        <v>0</v>
      </c>
      <c r="E44" s="3">
        <f>'Input csv'!D141</f>
        <v>0</v>
      </c>
      <c r="F44" s="4">
        <f>'Input csv'!E141</f>
        <v>0</v>
      </c>
      <c r="G44" s="4">
        <f>'Input csv'!F141</f>
        <v>0</v>
      </c>
      <c r="H44" s="5">
        <f>'Input csv'!G141</f>
        <v>0</v>
      </c>
      <c r="I44" s="4">
        <f>'Input csv'!H141</f>
        <v>0</v>
      </c>
      <c r="J44" s="4">
        <f>'Input csv'!I141</f>
        <v>0</v>
      </c>
      <c r="K44" s="4">
        <f>'Input csv'!J141</f>
        <v>0</v>
      </c>
      <c r="L44" s="4">
        <f>'Input csv'!K141</f>
        <v>0</v>
      </c>
      <c r="M44" s="4">
        <f>'Input csv'!L141</f>
        <v>0</v>
      </c>
      <c r="N44" s="63">
        <f t="shared" si="0"/>
        <v>0</v>
      </c>
      <c r="O44" s="13">
        <f t="shared" si="15"/>
        <v>0</v>
      </c>
      <c r="P44" s="4">
        <f t="shared" si="3"/>
        <v>0</v>
      </c>
      <c r="Q44">
        <f t="shared" si="20"/>
        <v>0</v>
      </c>
      <c r="R44">
        <f>MEDIAN($P$1:P103)</f>
        <v>0</v>
      </c>
      <c r="S44" t="b">
        <f t="shared" si="10"/>
        <v>1</v>
      </c>
      <c r="T44" s="15">
        <f t="shared" si="16"/>
        <v>0</v>
      </c>
      <c r="U44" s="15">
        <f t="shared" si="17"/>
        <v>0</v>
      </c>
      <c r="V44" s="15">
        <f t="shared" si="18"/>
        <v>0</v>
      </c>
      <c r="W44" t="b">
        <f t="shared" si="19"/>
        <v>1</v>
      </c>
      <c r="X44">
        <f t="shared" si="21"/>
        <v>1</v>
      </c>
      <c r="Y44">
        <f t="shared" si="13"/>
        <v>12</v>
      </c>
      <c r="Z44">
        <f t="shared" si="6"/>
        <v>1</v>
      </c>
      <c r="AI44" s="15" t="str">
        <f t="shared" si="14"/>
        <v>0</v>
      </c>
      <c r="BE44" s="19">
        <f t="shared" si="11"/>
        <v>2.7777777777777787E-2</v>
      </c>
      <c r="BF44" t="e">
        <f t="shared" ca="1" si="7"/>
        <v>#VALUE!</v>
      </c>
    </row>
    <row r="45" spans="1:58" ht="12" customHeight="1">
      <c r="A45" s="31" t="str">
        <f>LEFT('Input csv'!A142,10)</f>
        <v/>
      </c>
      <c r="B45" s="19" t="e">
        <f t="shared" si="8"/>
        <v>#VALUE!</v>
      </c>
      <c r="C45" s="3">
        <f>'Input csv'!B142</f>
        <v>0</v>
      </c>
      <c r="D45" s="3">
        <f>'Input csv'!C142</f>
        <v>0</v>
      </c>
      <c r="E45" s="3">
        <f>'Input csv'!D142</f>
        <v>0</v>
      </c>
      <c r="F45" s="4">
        <f>'Input csv'!E142</f>
        <v>0</v>
      </c>
      <c r="G45" s="4">
        <f>'Input csv'!F142</f>
        <v>0</v>
      </c>
      <c r="H45" s="5">
        <f>'Input csv'!G142</f>
        <v>0</v>
      </c>
      <c r="I45" s="4">
        <f>'Input csv'!H142</f>
        <v>0</v>
      </c>
      <c r="J45" s="4">
        <f>'Input csv'!I142</f>
        <v>0</v>
      </c>
      <c r="K45" s="4">
        <f>'Input csv'!J142</f>
        <v>0</v>
      </c>
      <c r="L45" s="4">
        <f>'Input csv'!K142</f>
        <v>0</v>
      </c>
      <c r="M45" s="4">
        <f>'Input csv'!L142</f>
        <v>0</v>
      </c>
      <c r="N45" s="63">
        <f t="shared" si="0"/>
        <v>0</v>
      </c>
      <c r="O45" s="13">
        <f t="shared" si="15"/>
        <v>0</v>
      </c>
      <c r="P45" s="4">
        <f t="shared" si="3"/>
        <v>0</v>
      </c>
      <c r="Q45">
        <f t="shared" si="20"/>
        <v>0</v>
      </c>
      <c r="R45">
        <f>MEDIAN($P$1:P104)</f>
        <v>0</v>
      </c>
      <c r="S45" t="b">
        <f t="shared" si="10"/>
        <v>1</v>
      </c>
      <c r="T45" s="15">
        <f t="shared" si="16"/>
        <v>0</v>
      </c>
      <c r="U45" s="15">
        <f t="shared" si="17"/>
        <v>0</v>
      </c>
      <c r="V45" s="15">
        <f t="shared" si="18"/>
        <v>0</v>
      </c>
      <c r="W45" t="b">
        <f t="shared" si="19"/>
        <v>1</v>
      </c>
      <c r="X45">
        <f t="shared" si="21"/>
        <v>1</v>
      </c>
      <c r="Y45">
        <f t="shared" si="13"/>
        <v>12</v>
      </c>
      <c r="Z45">
        <f t="shared" si="6"/>
        <v>1</v>
      </c>
      <c r="AI45" s="15" t="str">
        <f t="shared" si="14"/>
        <v>0</v>
      </c>
      <c r="BE45" s="19">
        <f t="shared" si="11"/>
        <v>2.8472222222222232E-2</v>
      </c>
      <c r="BF45" t="e">
        <f t="shared" ca="1" si="7"/>
        <v>#VALUE!</v>
      </c>
    </row>
    <row r="46" spans="1:58" ht="12" customHeight="1">
      <c r="A46" s="31" t="str">
        <f>LEFT('Input csv'!A143,10)</f>
        <v/>
      </c>
      <c r="B46" s="19" t="e">
        <f t="shared" si="8"/>
        <v>#VALUE!</v>
      </c>
      <c r="C46" s="3">
        <f>'Input csv'!B143</f>
        <v>0</v>
      </c>
      <c r="D46" s="3">
        <f>'Input csv'!C143</f>
        <v>0</v>
      </c>
      <c r="E46" s="3">
        <f>'Input csv'!D143</f>
        <v>0</v>
      </c>
      <c r="F46" s="4">
        <f>'Input csv'!E143</f>
        <v>0</v>
      </c>
      <c r="G46" s="4">
        <f>'Input csv'!F143</f>
        <v>0</v>
      </c>
      <c r="H46" s="5">
        <f>'Input csv'!G143</f>
        <v>0</v>
      </c>
      <c r="I46" s="4">
        <f>'Input csv'!H143</f>
        <v>0</v>
      </c>
      <c r="J46" s="4">
        <f>'Input csv'!I143</f>
        <v>0</v>
      </c>
      <c r="K46" s="4">
        <f>'Input csv'!J143</f>
        <v>0</v>
      </c>
      <c r="L46" s="4">
        <f>'Input csv'!K143</f>
        <v>0</v>
      </c>
      <c r="M46" s="4">
        <f>'Input csv'!L143</f>
        <v>0</v>
      </c>
      <c r="N46" s="63">
        <f t="shared" si="0"/>
        <v>0</v>
      </c>
      <c r="O46" s="13">
        <f t="shared" si="15"/>
        <v>0</v>
      </c>
      <c r="P46" s="4">
        <f t="shared" si="3"/>
        <v>0</v>
      </c>
      <c r="Q46">
        <f t="shared" si="20"/>
        <v>0</v>
      </c>
      <c r="R46">
        <f>MEDIAN($P$1:P105)</f>
        <v>0</v>
      </c>
      <c r="S46" t="b">
        <f t="shared" si="10"/>
        <v>1</v>
      </c>
      <c r="T46" s="15">
        <f t="shared" si="16"/>
        <v>0</v>
      </c>
      <c r="U46" s="15">
        <f t="shared" si="17"/>
        <v>0</v>
      </c>
      <c r="V46" s="15">
        <f t="shared" si="18"/>
        <v>0</v>
      </c>
      <c r="W46" t="b">
        <f t="shared" si="19"/>
        <v>1</v>
      </c>
      <c r="X46">
        <f t="shared" si="21"/>
        <v>1</v>
      </c>
      <c r="Y46">
        <f t="shared" si="13"/>
        <v>12</v>
      </c>
      <c r="Z46">
        <f t="shared" si="6"/>
        <v>1</v>
      </c>
      <c r="AI46" s="15" t="str">
        <f t="shared" si="14"/>
        <v>0</v>
      </c>
      <c r="BE46" s="19">
        <f t="shared" si="11"/>
        <v>2.9166666666666678E-2</v>
      </c>
      <c r="BF46" t="e">
        <f t="shared" ca="1" si="7"/>
        <v>#VALUE!</v>
      </c>
    </row>
    <row r="47" spans="1:58" ht="12" customHeight="1">
      <c r="A47" s="31" t="str">
        <f>LEFT('Input csv'!A144,10)</f>
        <v/>
      </c>
      <c r="B47" s="19" t="e">
        <f t="shared" si="8"/>
        <v>#VALUE!</v>
      </c>
      <c r="C47" s="3">
        <f>'Input csv'!B144</f>
        <v>0</v>
      </c>
      <c r="D47" s="3">
        <f>'Input csv'!C144</f>
        <v>0</v>
      </c>
      <c r="E47" s="3">
        <f>'Input csv'!D144</f>
        <v>0</v>
      </c>
      <c r="F47" s="4">
        <f>'Input csv'!E144</f>
        <v>0</v>
      </c>
      <c r="G47" s="4">
        <f>'Input csv'!F144</f>
        <v>0</v>
      </c>
      <c r="H47" s="5">
        <f>'Input csv'!G144</f>
        <v>0</v>
      </c>
      <c r="I47" s="4">
        <f>'Input csv'!H144</f>
        <v>0</v>
      </c>
      <c r="J47" s="4">
        <f>'Input csv'!I144</f>
        <v>0</v>
      </c>
      <c r="K47" s="4">
        <f>'Input csv'!J144</f>
        <v>0</v>
      </c>
      <c r="L47" s="4">
        <f>'Input csv'!K144</f>
        <v>0</v>
      </c>
      <c r="M47" s="4">
        <f>'Input csv'!L144</f>
        <v>0</v>
      </c>
      <c r="N47" s="63">
        <f t="shared" si="0"/>
        <v>0</v>
      </c>
      <c r="O47" s="13">
        <f t="shared" si="15"/>
        <v>0</v>
      </c>
      <c r="P47" s="4">
        <f t="shared" si="3"/>
        <v>0</v>
      </c>
      <c r="Q47">
        <f t="shared" si="20"/>
        <v>0</v>
      </c>
      <c r="R47">
        <f>MEDIAN($P$1:P106)</f>
        <v>0</v>
      </c>
      <c r="S47" t="b">
        <f t="shared" si="10"/>
        <v>1</v>
      </c>
      <c r="T47" s="15">
        <f t="shared" si="16"/>
        <v>0</v>
      </c>
      <c r="U47" s="15">
        <f t="shared" si="17"/>
        <v>0</v>
      </c>
      <c r="V47" s="15">
        <f t="shared" si="18"/>
        <v>0</v>
      </c>
      <c r="W47" t="b">
        <f t="shared" si="19"/>
        <v>1</v>
      </c>
      <c r="X47">
        <f t="shared" si="21"/>
        <v>1</v>
      </c>
      <c r="Y47">
        <f t="shared" si="13"/>
        <v>12</v>
      </c>
      <c r="Z47">
        <f t="shared" si="6"/>
        <v>1</v>
      </c>
      <c r="AI47" s="15" t="str">
        <f t="shared" si="14"/>
        <v>0</v>
      </c>
      <c r="BE47" s="19">
        <f t="shared" si="11"/>
        <v>2.9861111111111123E-2</v>
      </c>
      <c r="BF47" t="e">
        <f t="shared" ca="1" si="7"/>
        <v>#VALUE!</v>
      </c>
    </row>
    <row r="48" spans="1:58" ht="12" customHeight="1">
      <c r="A48" s="31" t="str">
        <f>LEFT('Input csv'!A145,10)</f>
        <v/>
      </c>
      <c r="B48" s="19" t="e">
        <f t="shared" si="8"/>
        <v>#VALUE!</v>
      </c>
      <c r="C48" s="3">
        <f>'Input csv'!B145</f>
        <v>0</v>
      </c>
      <c r="D48" s="3">
        <f>'Input csv'!C145</f>
        <v>0</v>
      </c>
      <c r="E48" s="3">
        <f>'Input csv'!D145</f>
        <v>0</v>
      </c>
      <c r="F48" s="4">
        <f>'Input csv'!E145</f>
        <v>0</v>
      </c>
      <c r="G48" s="4">
        <f>'Input csv'!F145</f>
        <v>0</v>
      </c>
      <c r="H48" s="5">
        <f>'Input csv'!G145</f>
        <v>0</v>
      </c>
      <c r="I48" s="4">
        <f>'Input csv'!H145</f>
        <v>0</v>
      </c>
      <c r="J48" s="4">
        <f>'Input csv'!I145</f>
        <v>0</v>
      </c>
      <c r="K48" s="4">
        <f>'Input csv'!J145</f>
        <v>0</v>
      </c>
      <c r="L48" s="4">
        <f>'Input csv'!K145</f>
        <v>0</v>
      </c>
      <c r="M48" s="4">
        <f>'Input csv'!L145</f>
        <v>0</v>
      </c>
      <c r="N48" s="63">
        <f t="shared" si="0"/>
        <v>0</v>
      </c>
      <c r="O48" s="13">
        <f t="shared" si="15"/>
        <v>0</v>
      </c>
      <c r="P48" s="4">
        <f t="shared" si="3"/>
        <v>0</v>
      </c>
      <c r="Q48">
        <f t="shared" si="20"/>
        <v>0</v>
      </c>
      <c r="R48">
        <f>MEDIAN($P$1:P107)</f>
        <v>0</v>
      </c>
      <c r="S48" t="b">
        <f t="shared" si="10"/>
        <v>1</v>
      </c>
      <c r="T48" s="15">
        <f t="shared" si="16"/>
        <v>0</v>
      </c>
      <c r="U48" s="15">
        <f t="shared" si="17"/>
        <v>0</v>
      </c>
      <c r="V48" s="15">
        <f t="shared" si="18"/>
        <v>0</v>
      </c>
      <c r="W48" t="b">
        <f t="shared" si="19"/>
        <v>1</v>
      </c>
      <c r="X48">
        <f t="shared" si="21"/>
        <v>1</v>
      </c>
      <c r="Y48">
        <f t="shared" si="13"/>
        <v>12</v>
      </c>
      <c r="Z48">
        <f t="shared" si="6"/>
        <v>1</v>
      </c>
      <c r="AI48" s="15" t="str">
        <f t="shared" si="14"/>
        <v>0</v>
      </c>
      <c r="BE48" s="19">
        <f t="shared" si="11"/>
        <v>3.0555555555555568E-2</v>
      </c>
      <c r="BF48" t="e">
        <f t="shared" ca="1" si="7"/>
        <v>#VALUE!</v>
      </c>
    </row>
    <row r="49" spans="1:58" ht="12" customHeight="1">
      <c r="A49" s="31" t="str">
        <f>LEFT('Input csv'!A146,10)</f>
        <v/>
      </c>
      <c r="B49" s="19" t="e">
        <f t="shared" si="8"/>
        <v>#VALUE!</v>
      </c>
      <c r="C49" s="3">
        <f>'Input csv'!B146</f>
        <v>0</v>
      </c>
      <c r="D49" s="3">
        <f>'Input csv'!C146</f>
        <v>0</v>
      </c>
      <c r="E49" s="3">
        <f>'Input csv'!D146</f>
        <v>0</v>
      </c>
      <c r="F49" s="4">
        <f>'Input csv'!E146</f>
        <v>0</v>
      </c>
      <c r="G49" s="4">
        <f>'Input csv'!F146</f>
        <v>0</v>
      </c>
      <c r="H49" s="5">
        <f>'Input csv'!G146</f>
        <v>0</v>
      </c>
      <c r="I49" s="4">
        <f>'Input csv'!H146</f>
        <v>0</v>
      </c>
      <c r="J49" s="4">
        <f>'Input csv'!I146</f>
        <v>0</v>
      </c>
      <c r="K49" s="4">
        <f>'Input csv'!J146</f>
        <v>0</v>
      </c>
      <c r="L49" s="4">
        <f>'Input csv'!K146</f>
        <v>0</v>
      </c>
      <c r="M49" s="4">
        <f>'Input csv'!L146</f>
        <v>0</v>
      </c>
      <c r="N49" s="63">
        <f t="shared" si="0"/>
        <v>0</v>
      </c>
      <c r="O49" s="13">
        <f t="shared" si="15"/>
        <v>0</v>
      </c>
      <c r="P49" s="4">
        <f t="shared" si="3"/>
        <v>0</v>
      </c>
      <c r="Q49">
        <f t="shared" si="20"/>
        <v>0</v>
      </c>
      <c r="R49">
        <f>MEDIAN($P$1:P108)</f>
        <v>0</v>
      </c>
      <c r="S49" t="b">
        <f t="shared" si="10"/>
        <v>1</v>
      </c>
      <c r="T49" s="15">
        <f t="shared" si="16"/>
        <v>0</v>
      </c>
      <c r="U49" s="15">
        <f t="shared" si="17"/>
        <v>0</v>
      </c>
      <c r="V49" s="15">
        <f t="shared" si="18"/>
        <v>0</v>
      </c>
      <c r="W49" t="b">
        <f t="shared" si="19"/>
        <v>1</v>
      </c>
      <c r="X49">
        <f t="shared" si="21"/>
        <v>1</v>
      </c>
      <c r="Y49">
        <f t="shared" si="13"/>
        <v>12</v>
      </c>
      <c r="Z49">
        <f t="shared" si="6"/>
        <v>1</v>
      </c>
      <c r="AI49" s="15" t="str">
        <f t="shared" si="14"/>
        <v>0</v>
      </c>
      <c r="BE49" s="19">
        <f t="shared" si="11"/>
        <v>3.1250000000000014E-2</v>
      </c>
      <c r="BF49" t="e">
        <f t="shared" ca="1" si="7"/>
        <v>#VALUE!</v>
      </c>
    </row>
    <row r="50" spans="1:58" ht="12" customHeight="1">
      <c r="A50" s="31" t="str">
        <f>LEFT('Input csv'!A147,10)</f>
        <v/>
      </c>
      <c r="B50" s="19" t="e">
        <f t="shared" si="8"/>
        <v>#VALUE!</v>
      </c>
      <c r="C50" s="3">
        <f>'Input csv'!B147</f>
        <v>0</v>
      </c>
      <c r="D50" s="3">
        <f>'Input csv'!C147</f>
        <v>0</v>
      </c>
      <c r="E50" s="3">
        <f>'Input csv'!D147</f>
        <v>0</v>
      </c>
      <c r="F50" s="4">
        <f>'Input csv'!E147</f>
        <v>0</v>
      </c>
      <c r="G50" s="4">
        <f>'Input csv'!F147</f>
        <v>0</v>
      </c>
      <c r="H50" s="5">
        <f>'Input csv'!G147</f>
        <v>0</v>
      </c>
      <c r="I50" s="4">
        <f>'Input csv'!H147</f>
        <v>0</v>
      </c>
      <c r="J50" s="4">
        <f>'Input csv'!I147</f>
        <v>0</v>
      </c>
      <c r="K50" s="4">
        <f>'Input csv'!J147</f>
        <v>0</v>
      </c>
      <c r="L50" s="4">
        <f>'Input csv'!K147</f>
        <v>0</v>
      </c>
      <c r="M50" s="4">
        <f>'Input csv'!L147</f>
        <v>0</v>
      </c>
      <c r="N50" s="63">
        <f t="shared" si="0"/>
        <v>0</v>
      </c>
      <c r="O50" s="13">
        <f t="shared" si="15"/>
        <v>0</v>
      </c>
      <c r="P50" s="4">
        <f t="shared" si="3"/>
        <v>0</v>
      </c>
      <c r="Q50">
        <f t="shared" si="20"/>
        <v>0</v>
      </c>
      <c r="R50">
        <f>MEDIAN($P$1:P109)</f>
        <v>0</v>
      </c>
      <c r="S50" t="b">
        <f t="shared" si="10"/>
        <v>1</v>
      </c>
      <c r="T50" s="15">
        <f t="shared" si="16"/>
        <v>0</v>
      </c>
      <c r="U50" s="15">
        <f t="shared" si="17"/>
        <v>0</v>
      </c>
      <c r="V50" s="15">
        <f t="shared" si="18"/>
        <v>0</v>
      </c>
      <c r="W50" t="b">
        <f t="shared" si="19"/>
        <v>1</v>
      </c>
      <c r="X50">
        <f t="shared" si="21"/>
        <v>1</v>
      </c>
      <c r="Y50">
        <f t="shared" si="13"/>
        <v>12</v>
      </c>
      <c r="Z50">
        <f t="shared" si="6"/>
        <v>1</v>
      </c>
      <c r="AI50" s="15" t="str">
        <f t="shared" si="14"/>
        <v>0</v>
      </c>
      <c r="BE50" s="19">
        <f t="shared" si="11"/>
        <v>3.1944444444444456E-2</v>
      </c>
      <c r="BF50" t="e">
        <f t="shared" ca="1" si="7"/>
        <v>#VALUE!</v>
      </c>
    </row>
    <row r="51" spans="1:58" ht="12" customHeight="1">
      <c r="A51" s="31" t="str">
        <f>LEFT('Input csv'!A148,10)</f>
        <v/>
      </c>
      <c r="B51" s="19" t="e">
        <f t="shared" si="8"/>
        <v>#VALUE!</v>
      </c>
      <c r="C51" s="3">
        <f>'Input csv'!B148</f>
        <v>0</v>
      </c>
      <c r="D51" s="3">
        <f>'Input csv'!C148</f>
        <v>0</v>
      </c>
      <c r="E51" s="3">
        <f>'Input csv'!D148</f>
        <v>0</v>
      </c>
      <c r="F51" s="4">
        <f>'Input csv'!E148</f>
        <v>0</v>
      </c>
      <c r="G51" s="4">
        <f>'Input csv'!F148</f>
        <v>0</v>
      </c>
      <c r="H51" s="5">
        <f>'Input csv'!G148</f>
        <v>0</v>
      </c>
      <c r="I51" s="4">
        <f>'Input csv'!H148</f>
        <v>0</v>
      </c>
      <c r="J51" s="4">
        <f>'Input csv'!I148</f>
        <v>0</v>
      </c>
      <c r="K51" s="4">
        <f>'Input csv'!J148</f>
        <v>0</v>
      </c>
      <c r="L51" s="4">
        <f>'Input csv'!K148</f>
        <v>0</v>
      </c>
      <c r="M51" s="4">
        <f>'Input csv'!L148</f>
        <v>0</v>
      </c>
      <c r="N51" s="63">
        <f t="shared" si="0"/>
        <v>0</v>
      </c>
      <c r="O51" s="13">
        <f t="shared" si="15"/>
        <v>0</v>
      </c>
      <c r="P51" s="4">
        <f t="shared" si="3"/>
        <v>0</v>
      </c>
      <c r="Q51">
        <f t="shared" si="20"/>
        <v>0</v>
      </c>
      <c r="R51">
        <f>MEDIAN($P$1:P110)</f>
        <v>0</v>
      </c>
      <c r="S51" t="b">
        <f t="shared" si="10"/>
        <v>1</v>
      </c>
      <c r="T51" s="15">
        <f t="shared" si="16"/>
        <v>0</v>
      </c>
      <c r="U51" s="15">
        <f t="shared" si="17"/>
        <v>0</v>
      </c>
      <c r="V51" s="15">
        <f t="shared" si="18"/>
        <v>0</v>
      </c>
      <c r="W51" t="b">
        <f t="shared" si="19"/>
        <v>1</v>
      </c>
      <c r="X51">
        <f t="shared" si="21"/>
        <v>1</v>
      </c>
      <c r="Y51">
        <f t="shared" si="13"/>
        <v>12</v>
      </c>
      <c r="Z51">
        <f t="shared" si="6"/>
        <v>1</v>
      </c>
      <c r="AI51" s="15" t="str">
        <f t="shared" si="14"/>
        <v>0</v>
      </c>
      <c r="BE51" s="19">
        <f t="shared" si="11"/>
        <v>3.2638888888888898E-2</v>
      </c>
      <c r="BF51" t="e">
        <f t="shared" ca="1" si="7"/>
        <v>#VALUE!</v>
      </c>
    </row>
    <row r="52" spans="1:58" ht="12" customHeight="1">
      <c r="A52" s="31" t="str">
        <f>LEFT('Input csv'!A149,10)</f>
        <v/>
      </c>
      <c r="B52" s="19" t="e">
        <f t="shared" si="8"/>
        <v>#VALUE!</v>
      </c>
      <c r="C52" s="3">
        <f>'Input csv'!B149</f>
        <v>0</v>
      </c>
      <c r="D52" s="3">
        <f>'Input csv'!C149</f>
        <v>0</v>
      </c>
      <c r="E52" s="3">
        <f>'Input csv'!D149</f>
        <v>0</v>
      </c>
      <c r="F52" s="4">
        <f>'Input csv'!E149</f>
        <v>0</v>
      </c>
      <c r="G52" s="4">
        <f>'Input csv'!F149</f>
        <v>0</v>
      </c>
      <c r="H52" s="5">
        <f>'Input csv'!G149</f>
        <v>0</v>
      </c>
      <c r="I52" s="4">
        <f>'Input csv'!H149</f>
        <v>0</v>
      </c>
      <c r="J52" s="4">
        <f>'Input csv'!I149</f>
        <v>0</v>
      </c>
      <c r="K52" s="4">
        <f>'Input csv'!J149</f>
        <v>0</v>
      </c>
      <c r="L52" s="4">
        <f>'Input csv'!K149</f>
        <v>0</v>
      </c>
      <c r="M52" s="4">
        <f>'Input csv'!L149</f>
        <v>0</v>
      </c>
      <c r="N52" s="63">
        <f t="shared" si="0"/>
        <v>0</v>
      </c>
      <c r="O52" s="13">
        <f t="shared" si="15"/>
        <v>0</v>
      </c>
      <c r="P52" s="4">
        <f t="shared" si="3"/>
        <v>0</v>
      </c>
      <c r="Q52">
        <f t="shared" si="20"/>
        <v>0</v>
      </c>
      <c r="R52">
        <f>MEDIAN($P$1:P111)</f>
        <v>0</v>
      </c>
      <c r="S52" t="b">
        <f t="shared" si="10"/>
        <v>1</v>
      </c>
      <c r="T52" s="15">
        <f t="shared" si="16"/>
        <v>0</v>
      </c>
      <c r="U52" s="15">
        <f t="shared" si="17"/>
        <v>0</v>
      </c>
      <c r="V52" s="15">
        <f t="shared" si="18"/>
        <v>0</v>
      </c>
      <c r="W52" t="b">
        <f t="shared" si="19"/>
        <v>1</v>
      </c>
      <c r="X52">
        <f t="shared" si="21"/>
        <v>1</v>
      </c>
      <c r="Y52">
        <f t="shared" si="13"/>
        <v>12</v>
      </c>
      <c r="Z52">
        <f t="shared" si="6"/>
        <v>1</v>
      </c>
      <c r="AI52" s="15" t="str">
        <f t="shared" si="14"/>
        <v>0</v>
      </c>
      <c r="BE52" s="19">
        <f t="shared" si="11"/>
        <v>3.333333333333334E-2</v>
      </c>
      <c r="BF52" t="e">
        <f t="shared" ca="1" si="7"/>
        <v>#VALUE!</v>
      </c>
    </row>
    <row r="53" spans="1:58" ht="12" customHeight="1">
      <c r="A53" s="31" t="str">
        <f>LEFT('Input csv'!A150,10)</f>
        <v/>
      </c>
      <c r="B53" s="19" t="e">
        <f t="shared" si="8"/>
        <v>#VALUE!</v>
      </c>
      <c r="C53" s="3">
        <f>'Input csv'!B150</f>
        <v>0</v>
      </c>
      <c r="D53" s="3">
        <f>'Input csv'!C150</f>
        <v>0</v>
      </c>
      <c r="E53" s="3">
        <f>'Input csv'!D150</f>
        <v>0</v>
      </c>
      <c r="F53" s="4">
        <f>'Input csv'!E150</f>
        <v>0</v>
      </c>
      <c r="G53" s="4">
        <f>'Input csv'!F150</f>
        <v>0</v>
      </c>
      <c r="H53" s="5">
        <f>'Input csv'!G150</f>
        <v>0</v>
      </c>
      <c r="I53" s="4">
        <f>'Input csv'!H150</f>
        <v>0</v>
      </c>
      <c r="J53" s="4">
        <f>'Input csv'!I150</f>
        <v>0</v>
      </c>
      <c r="K53" s="4">
        <f>'Input csv'!J150</f>
        <v>0</v>
      </c>
      <c r="L53" s="4">
        <f>'Input csv'!K150</f>
        <v>0</v>
      </c>
      <c r="M53" s="4">
        <f>'Input csv'!L150</f>
        <v>0</v>
      </c>
      <c r="N53" s="63">
        <f t="shared" si="0"/>
        <v>0</v>
      </c>
      <c r="O53" s="13">
        <f t="shared" si="15"/>
        <v>0</v>
      </c>
      <c r="P53" s="4">
        <f t="shared" si="3"/>
        <v>0</v>
      </c>
      <c r="Q53">
        <f t="shared" si="20"/>
        <v>0</v>
      </c>
      <c r="R53">
        <f>MEDIAN($P$1:P112)</f>
        <v>0</v>
      </c>
      <c r="S53" t="b">
        <f t="shared" si="10"/>
        <v>1</v>
      </c>
      <c r="T53" s="15">
        <f t="shared" si="16"/>
        <v>0</v>
      </c>
      <c r="U53" s="15">
        <f t="shared" si="17"/>
        <v>0</v>
      </c>
      <c r="V53" s="15">
        <f t="shared" si="18"/>
        <v>0</v>
      </c>
      <c r="W53" t="b">
        <f t="shared" si="19"/>
        <v>1</v>
      </c>
      <c r="X53">
        <f t="shared" si="21"/>
        <v>1</v>
      </c>
      <c r="Y53">
        <f t="shared" si="13"/>
        <v>12</v>
      </c>
      <c r="Z53">
        <f t="shared" si="6"/>
        <v>1</v>
      </c>
      <c r="AI53" s="15" t="str">
        <f t="shared" si="14"/>
        <v>0</v>
      </c>
      <c r="BE53" s="19">
        <f t="shared" si="11"/>
        <v>3.4027777777777782E-2</v>
      </c>
      <c r="BF53" t="e">
        <f t="shared" ca="1" si="7"/>
        <v>#VALUE!</v>
      </c>
    </row>
    <row r="54" spans="1:58" ht="12" customHeight="1">
      <c r="A54" s="31" t="str">
        <f>LEFT('Input csv'!A151,10)</f>
        <v/>
      </c>
      <c r="B54" s="19" t="e">
        <f t="shared" si="8"/>
        <v>#VALUE!</v>
      </c>
      <c r="C54" s="3">
        <f>'Input csv'!B151</f>
        <v>0</v>
      </c>
      <c r="D54" s="3">
        <f>'Input csv'!C151</f>
        <v>0</v>
      </c>
      <c r="E54" s="3">
        <f>'Input csv'!D151</f>
        <v>0</v>
      </c>
      <c r="F54" s="4">
        <f>'Input csv'!E151</f>
        <v>0</v>
      </c>
      <c r="G54" s="4">
        <f>'Input csv'!F151</f>
        <v>0</v>
      </c>
      <c r="H54" s="5">
        <f>'Input csv'!G151</f>
        <v>0</v>
      </c>
      <c r="I54" s="4">
        <f>'Input csv'!H151</f>
        <v>0</v>
      </c>
      <c r="J54" s="4">
        <f>'Input csv'!I151</f>
        <v>0</v>
      </c>
      <c r="K54" s="4">
        <f>'Input csv'!J151</f>
        <v>0</v>
      </c>
      <c r="L54" s="4">
        <f>'Input csv'!K151</f>
        <v>0</v>
      </c>
      <c r="M54" s="4">
        <f>'Input csv'!L151</f>
        <v>0</v>
      </c>
      <c r="N54" s="63">
        <f t="shared" si="0"/>
        <v>0</v>
      </c>
      <c r="O54" s="13">
        <f t="shared" si="15"/>
        <v>0</v>
      </c>
      <c r="P54" s="4">
        <f t="shared" si="3"/>
        <v>0</v>
      </c>
      <c r="Q54">
        <f t="shared" si="20"/>
        <v>0</v>
      </c>
      <c r="R54">
        <f>MEDIAN($P$1:P113)</f>
        <v>0</v>
      </c>
      <c r="S54" t="b">
        <f t="shared" si="10"/>
        <v>1</v>
      </c>
      <c r="T54" s="15">
        <f>O54*I54</f>
        <v>0</v>
      </c>
      <c r="U54" s="15">
        <f t="shared" si="17"/>
        <v>0</v>
      </c>
      <c r="V54" s="15">
        <f t="shared" si="18"/>
        <v>0</v>
      </c>
      <c r="W54" t="b">
        <f t="shared" si="19"/>
        <v>1</v>
      </c>
      <c r="X54">
        <f t="shared" si="21"/>
        <v>1</v>
      </c>
      <c r="Y54">
        <f t="shared" si="13"/>
        <v>12</v>
      </c>
      <c r="Z54">
        <f t="shared" si="6"/>
        <v>1</v>
      </c>
      <c r="AI54" s="15" t="str">
        <f t="shared" si="14"/>
        <v>0</v>
      </c>
      <c r="BE54" s="19">
        <f t="shared" si="11"/>
        <v>3.4722222222222224E-2</v>
      </c>
      <c r="BF54" t="e">
        <f t="shared" ca="1" si="7"/>
        <v>#VALUE!</v>
      </c>
    </row>
    <row r="55" spans="1:58" ht="12" customHeight="1">
      <c r="A55" s="31" t="str">
        <f>LEFT('Input csv'!A152,10)</f>
        <v/>
      </c>
      <c r="B55" s="19" t="e">
        <f t="shared" si="8"/>
        <v>#VALUE!</v>
      </c>
      <c r="C55" s="3">
        <f>'Input csv'!B152</f>
        <v>0</v>
      </c>
      <c r="D55" s="3">
        <f>'Input csv'!C152</f>
        <v>0</v>
      </c>
      <c r="E55" s="3">
        <f>'Input csv'!D152</f>
        <v>0</v>
      </c>
      <c r="F55" s="4">
        <f>'Input csv'!E152</f>
        <v>0</v>
      </c>
      <c r="G55" s="4">
        <f>'Input csv'!F152</f>
        <v>0</v>
      </c>
      <c r="H55" s="5">
        <f>'Input csv'!G152</f>
        <v>0</v>
      </c>
      <c r="I55" s="4">
        <f>'Input csv'!H152</f>
        <v>0</v>
      </c>
      <c r="J55" s="4">
        <f>'Input csv'!I152</f>
        <v>0</v>
      </c>
      <c r="K55" s="4">
        <f>'Input csv'!J152</f>
        <v>0</v>
      </c>
      <c r="L55" s="4">
        <f>'Input csv'!K152</f>
        <v>0</v>
      </c>
      <c r="M55" s="4">
        <f>'Input csv'!L152</f>
        <v>0</v>
      </c>
      <c r="N55" s="63">
        <f t="shared" si="0"/>
        <v>0</v>
      </c>
      <c r="O55" s="13">
        <f t="shared" si="15"/>
        <v>0</v>
      </c>
      <c r="P55" s="4">
        <f t="shared" si="3"/>
        <v>0</v>
      </c>
      <c r="Q55">
        <f t="shared" si="20"/>
        <v>0</v>
      </c>
      <c r="R55">
        <f>MEDIAN($P$1:P114)</f>
        <v>0</v>
      </c>
      <c r="S55" t="b">
        <f t="shared" si="10"/>
        <v>1</v>
      </c>
      <c r="T55" s="15">
        <f t="shared" si="16"/>
        <v>0</v>
      </c>
      <c r="U55" s="15">
        <f t="shared" si="17"/>
        <v>0</v>
      </c>
      <c r="V55" s="15">
        <f t="shared" si="18"/>
        <v>0</v>
      </c>
      <c r="W55" t="b">
        <f t="shared" si="19"/>
        <v>1</v>
      </c>
      <c r="X55">
        <f t="shared" si="21"/>
        <v>1</v>
      </c>
      <c r="Y55">
        <f t="shared" si="13"/>
        <v>12</v>
      </c>
      <c r="Z55">
        <f t="shared" si="6"/>
        <v>1</v>
      </c>
      <c r="AI55" s="15" t="str">
        <f t="shared" si="14"/>
        <v>0</v>
      </c>
      <c r="BE55" s="19">
        <f t="shared" si="11"/>
        <v>3.5416666666666666E-2</v>
      </c>
      <c r="BF55" t="e">
        <f t="shared" ca="1" si="7"/>
        <v>#VALUE!</v>
      </c>
    </row>
    <row r="56" spans="1:58" ht="12" customHeight="1">
      <c r="A56" s="31" t="str">
        <f>LEFT('Input csv'!A153,10)</f>
        <v/>
      </c>
      <c r="B56" s="19" t="e">
        <f t="shared" si="8"/>
        <v>#VALUE!</v>
      </c>
      <c r="C56" s="3">
        <f>'Input csv'!B153</f>
        <v>0</v>
      </c>
      <c r="D56" s="3">
        <f>'Input csv'!C153</f>
        <v>0</v>
      </c>
      <c r="E56" s="3">
        <f>'Input csv'!D153</f>
        <v>0</v>
      </c>
      <c r="F56" s="4">
        <f>'Input csv'!E153</f>
        <v>0</v>
      </c>
      <c r="G56" s="4">
        <f>'Input csv'!F153</f>
        <v>0</v>
      </c>
      <c r="H56" s="5">
        <f>'Input csv'!G153</f>
        <v>0</v>
      </c>
      <c r="I56" s="4">
        <f>'Input csv'!H153</f>
        <v>0</v>
      </c>
      <c r="J56" s="4">
        <f>'Input csv'!I153</f>
        <v>0</v>
      </c>
      <c r="K56" s="4">
        <f>'Input csv'!J153</f>
        <v>0</v>
      </c>
      <c r="L56" s="4">
        <f>'Input csv'!K153</f>
        <v>0</v>
      </c>
      <c r="M56" s="4">
        <f>'Input csv'!L153</f>
        <v>0</v>
      </c>
      <c r="N56" s="63">
        <f t="shared" si="0"/>
        <v>0</v>
      </c>
      <c r="O56" s="13">
        <f t="shared" si="15"/>
        <v>0</v>
      </c>
      <c r="P56" s="4">
        <f t="shared" si="3"/>
        <v>0</v>
      </c>
      <c r="Q56">
        <f t="shared" si="20"/>
        <v>0</v>
      </c>
      <c r="R56">
        <f>MEDIAN($P$1:P115)</f>
        <v>0</v>
      </c>
      <c r="S56" t="b">
        <f t="shared" si="10"/>
        <v>1</v>
      </c>
      <c r="T56" s="15">
        <f t="shared" si="16"/>
        <v>0</v>
      </c>
      <c r="U56" s="15">
        <f t="shared" si="17"/>
        <v>0</v>
      </c>
      <c r="V56" s="15">
        <f t="shared" si="18"/>
        <v>0</v>
      </c>
      <c r="W56" t="b">
        <f>V56&lt;$W$1</f>
        <v>1</v>
      </c>
      <c r="X56">
        <f t="shared" si="21"/>
        <v>1</v>
      </c>
      <c r="Y56">
        <f t="shared" si="13"/>
        <v>12</v>
      </c>
      <c r="Z56">
        <f t="shared" si="6"/>
        <v>1</v>
      </c>
      <c r="AI56" s="15" t="str">
        <f t="shared" si="14"/>
        <v>0</v>
      </c>
      <c r="BE56" s="19">
        <f t="shared" si="11"/>
        <v>3.6111111111111108E-2</v>
      </c>
      <c r="BF56" t="e">
        <f t="shared" ca="1" si="7"/>
        <v>#VALUE!</v>
      </c>
    </row>
    <row r="57" spans="1:58" ht="12" customHeight="1">
      <c r="A57" s="31" t="str">
        <f>LEFT('Input csv'!A154,10)</f>
        <v/>
      </c>
      <c r="B57" s="19" t="e">
        <f t="shared" si="8"/>
        <v>#VALUE!</v>
      </c>
      <c r="C57" s="3">
        <f>'Input csv'!B154</f>
        <v>0</v>
      </c>
      <c r="D57" s="3">
        <f>'Input csv'!C154</f>
        <v>0</v>
      </c>
      <c r="E57" s="3">
        <f>'Input csv'!D154</f>
        <v>0</v>
      </c>
      <c r="F57" s="4">
        <f>'Input csv'!E154</f>
        <v>0</v>
      </c>
      <c r="G57" s="4">
        <f>'Input csv'!F154</f>
        <v>0</v>
      </c>
      <c r="H57" s="5">
        <f>'Input csv'!G154</f>
        <v>0</v>
      </c>
      <c r="I57" s="4">
        <f>'Input csv'!H154</f>
        <v>0</v>
      </c>
      <c r="J57" s="4">
        <f>'Input csv'!I154</f>
        <v>0</v>
      </c>
      <c r="K57" s="4">
        <f>'Input csv'!J154</f>
        <v>0</v>
      </c>
      <c r="L57" s="4">
        <f>'Input csv'!K154</f>
        <v>0</v>
      </c>
      <c r="M57" s="4">
        <f>'Input csv'!L154</f>
        <v>0</v>
      </c>
      <c r="N57" s="63">
        <f t="shared" si="0"/>
        <v>0</v>
      </c>
      <c r="O57" s="13">
        <f t="shared" si="15"/>
        <v>0</v>
      </c>
      <c r="P57" s="4">
        <f t="shared" si="3"/>
        <v>0</v>
      </c>
      <c r="Q57">
        <f t="shared" si="20"/>
        <v>0</v>
      </c>
      <c r="R57">
        <f>MEDIAN($P$1:P116)</f>
        <v>0</v>
      </c>
      <c r="S57" t="b">
        <f t="shared" si="10"/>
        <v>1</v>
      </c>
      <c r="T57" s="15">
        <f t="shared" si="16"/>
        <v>0</v>
      </c>
      <c r="U57" s="15">
        <f t="shared" si="17"/>
        <v>0</v>
      </c>
      <c r="V57" s="15">
        <f>MIN(U28:U87)</f>
        <v>0</v>
      </c>
      <c r="W57" t="b">
        <f t="shared" si="19"/>
        <v>1</v>
      </c>
      <c r="X57">
        <f t="shared" si="21"/>
        <v>1</v>
      </c>
      <c r="Y57">
        <f t="shared" si="13"/>
        <v>12</v>
      </c>
      <c r="Z57">
        <f t="shared" si="6"/>
        <v>1</v>
      </c>
      <c r="AI57" s="15" t="str">
        <f t="shared" si="14"/>
        <v>0</v>
      </c>
      <c r="BE57" s="19">
        <f t="shared" si="11"/>
        <v>3.680555555555555E-2</v>
      </c>
      <c r="BF57" t="e">
        <f t="shared" ca="1" si="7"/>
        <v>#VALUE!</v>
      </c>
    </row>
    <row r="58" spans="1:58" ht="12" customHeight="1">
      <c r="A58" s="31" t="str">
        <f>LEFT('Input csv'!A155,10)</f>
        <v/>
      </c>
      <c r="B58" s="19" t="e">
        <f t="shared" si="8"/>
        <v>#VALUE!</v>
      </c>
      <c r="C58" s="3">
        <f>'Input csv'!B155</f>
        <v>0</v>
      </c>
      <c r="D58" s="3">
        <f>'Input csv'!C155</f>
        <v>0</v>
      </c>
      <c r="E58" s="3">
        <f>'Input csv'!D155</f>
        <v>0</v>
      </c>
      <c r="F58" s="4">
        <f>'Input csv'!E155</f>
        <v>0</v>
      </c>
      <c r="G58" s="4">
        <f>'Input csv'!F155</f>
        <v>0</v>
      </c>
      <c r="H58" s="5">
        <f>'Input csv'!G155</f>
        <v>0</v>
      </c>
      <c r="I58" s="4">
        <f>'Input csv'!H155</f>
        <v>0</v>
      </c>
      <c r="J58" s="4">
        <f>'Input csv'!I155</f>
        <v>0</v>
      </c>
      <c r="K58" s="4">
        <f>'Input csv'!J155</f>
        <v>0</v>
      </c>
      <c r="L58" s="4">
        <f>'Input csv'!K155</f>
        <v>0</v>
      </c>
      <c r="M58" s="4">
        <f>'Input csv'!L155</f>
        <v>0</v>
      </c>
      <c r="N58" s="63">
        <f t="shared" si="0"/>
        <v>0</v>
      </c>
      <c r="O58" s="13">
        <f t="shared" si="15"/>
        <v>0</v>
      </c>
      <c r="P58" s="4">
        <f t="shared" si="3"/>
        <v>0</v>
      </c>
      <c r="Q58">
        <f t="shared" si="20"/>
        <v>0</v>
      </c>
      <c r="R58">
        <f>MEDIAN($P$1:P117)</f>
        <v>0</v>
      </c>
      <c r="S58" t="b">
        <f t="shared" si="10"/>
        <v>1</v>
      </c>
      <c r="T58" s="15">
        <f t="shared" si="16"/>
        <v>0</v>
      </c>
      <c r="U58" s="15">
        <f>AVERAGE(T29:T88)</f>
        <v>0</v>
      </c>
      <c r="V58" s="15">
        <f t="shared" si="18"/>
        <v>0</v>
      </c>
      <c r="W58" t="b">
        <f t="shared" si="19"/>
        <v>1</v>
      </c>
      <c r="X58">
        <f t="shared" si="21"/>
        <v>1</v>
      </c>
      <c r="Y58">
        <f t="shared" si="13"/>
        <v>12</v>
      </c>
      <c r="Z58">
        <f t="shared" si="6"/>
        <v>1</v>
      </c>
      <c r="AI58" s="15" t="str">
        <f t="shared" si="14"/>
        <v>0</v>
      </c>
      <c r="BE58" s="19">
        <f t="shared" si="11"/>
        <v>3.7499999999999992E-2</v>
      </c>
      <c r="BF58" t="e">
        <f t="shared" ca="1" si="7"/>
        <v>#VALUE!</v>
      </c>
    </row>
    <row r="59" spans="1:58" ht="12" customHeight="1">
      <c r="A59" s="31" t="str">
        <f>LEFT('Input csv'!A156,10)</f>
        <v/>
      </c>
      <c r="B59" s="19" t="e">
        <f t="shared" si="8"/>
        <v>#VALUE!</v>
      </c>
      <c r="C59" s="3">
        <f>'Input csv'!B156</f>
        <v>0</v>
      </c>
      <c r="D59" s="3">
        <f>'Input csv'!C156</f>
        <v>0</v>
      </c>
      <c r="E59" s="3">
        <f>'Input csv'!D156</f>
        <v>0</v>
      </c>
      <c r="F59" s="4">
        <f>'Input csv'!E156</f>
        <v>0</v>
      </c>
      <c r="G59" s="4">
        <f>'Input csv'!F156</f>
        <v>0</v>
      </c>
      <c r="H59" s="5">
        <f>'Input csv'!G156</f>
        <v>0</v>
      </c>
      <c r="I59" s="4">
        <f>'Input csv'!H156</f>
        <v>0</v>
      </c>
      <c r="J59" s="4">
        <f>'Input csv'!I156</f>
        <v>0</v>
      </c>
      <c r="K59" s="4">
        <f>'Input csv'!J156</f>
        <v>0</v>
      </c>
      <c r="L59" s="4">
        <f>'Input csv'!K156</f>
        <v>0</v>
      </c>
      <c r="M59" s="4">
        <f>'Input csv'!L156</f>
        <v>0</v>
      </c>
      <c r="N59" s="63">
        <f t="shared" si="0"/>
        <v>0</v>
      </c>
      <c r="O59" s="13">
        <f t="shared" si="15"/>
        <v>0</v>
      </c>
      <c r="P59" s="4">
        <f t="shared" si="3"/>
        <v>0</v>
      </c>
      <c r="Q59">
        <f t="shared" si="20"/>
        <v>0</v>
      </c>
      <c r="R59">
        <f>MEDIAN($P$1:P118)</f>
        <v>0</v>
      </c>
      <c r="S59" t="b">
        <f t="shared" si="10"/>
        <v>1</v>
      </c>
      <c r="T59" s="15">
        <f t="shared" si="16"/>
        <v>0</v>
      </c>
      <c r="U59" s="15">
        <f t="shared" si="17"/>
        <v>0</v>
      </c>
      <c r="V59" s="15">
        <f t="shared" si="18"/>
        <v>0</v>
      </c>
      <c r="W59" t="b">
        <f t="shared" si="19"/>
        <v>1</v>
      </c>
      <c r="X59">
        <f t="shared" si="21"/>
        <v>1</v>
      </c>
      <c r="Y59">
        <f t="shared" si="13"/>
        <v>12</v>
      </c>
      <c r="Z59">
        <f t="shared" si="6"/>
        <v>1</v>
      </c>
      <c r="AI59" s="15" t="str">
        <f t="shared" si="14"/>
        <v>0</v>
      </c>
      <c r="BE59" s="19">
        <f t="shared" si="11"/>
        <v>3.8194444444444434E-2</v>
      </c>
      <c r="BF59" t="e">
        <f t="shared" ca="1" si="7"/>
        <v>#VALUE!</v>
      </c>
    </row>
    <row r="60" spans="1:58" ht="12" customHeight="1">
      <c r="A60" s="31" t="str">
        <f>LEFT('Input csv'!A157,10)</f>
        <v/>
      </c>
      <c r="B60" s="19" t="e">
        <f t="shared" si="8"/>
        <v>#VALUE!</v>
      </c>
      <c r="C60" s="3">
        <f>'Input csv'!B157</f>
        <v>0</v>
      </c>
      <c r="D60" s="3">
        <f>'Input csv'!C157</f>
        <v>0</v>
      </c>
      <c r="E60" s="3">
        <f>'Input csv'!D157</f>
        <v>0</v>
      </c>
      <c r="F60" s="4">
        <f>'Input csv'!E157</f>
        <v>0</v>
      </c>
      <c r="G60" s="4">
        <f>'Input csv'!F157</f>
        <v>0</v>
      </c>
      <c r="H60" s="5">
        <f>'Input csv'!G157</f>
        <v>0</v>
      </c>
      <c r="I60" s="4">
        <f>'Input csv'!H157</f>
        <v>0</v>
      </c>
      <c r="J60" s="4">
        <f>'Input csv'!I157</f>
        <v>0</v>
      </c>
      <c r="K60" s="4">
        <f>'Input csv'!J157</f>
        <v>0</v>
      </c>
      <c r="L60" s="4">
        <f>'Input csv'!K157</f>
        <v>0</v>
      </c>
      <c r="M60" s="4">
        <f>'Input csv'!L157</f>
        <v>0</v>
      </c>
      <c r="N60" s="63">
        <f t="shared" si="0"/>
        <v>0</v>
      </c>
      <c r="O60" s="13">
        <f t="shared" si="15"/>
        <v>0</v>
      </c>
      <c r="P60" s="4">
        <f t="shared" si="3"/>
        <v>0</v>
      </c>
      <c r="Q60">
        <f t="shared" si="20"/>
        <v>0</v>
      </c>
      <c r="R60">
        <f>MEDIAN($P$1:P119)</f>
        <v>0</v>
      </c>
      <c r="S60" t="b">
        <f t="shared" si="10"/>
        <v>1</v>
      </c>
      <c r="T60" s="15">
        <f t="shared" si="16"/>
        <v>0</v>
      </c>
      <c r="U60" s="15">
        <f t="shared" si="17"/>
        <v>0</v>
      </c>
      <c r="V60" s="15">
        <f t="shared" si="18"/>
        <v>0</v>
      </c>
      <c r="W60" t="b">
        <f t="shared" si="19"/>
        <v>1</v>
      </c>
      <c r="X60">
        <f t="shared" si="21"/>
        <v>1</v>
      </c>
      <c r="Y60">
        <f t="shared" si="13"/>
        <v>12</v>
      </c>
      <c r="Z60">
        <f t="shared" si="6"/>
        <v>1</v>
      </c>
      <c r="AI60" s="15" t="str">
        <f t="shared" si="14"/>
        <v>0</v>
      </c>
      <c r="BE60" s="19">
        <f t="shared" si="11"/>
        <v>3.8888888888888876E-2</v>
      </c>
      <c r="BF60" t="e">
        <f t="shared" ca="1" si="7"/>
        <v>#VALUE!</v>
      </c>
    </row>
    <row r="61" spans="1:58" ht="12" customHeight="1">
      <c r="A61" s="31" t="str">
        <f>LEFT('Input csv'!A158,10)</f>
        <v/>
      </c>
      <c r="B61" s="19" t="e">
        <f t="shared" si="8"/>
        <v>#VALUE!</v>
      </c>
      <c r="C61" s="3">
        <f>'Input csv'!B158</f>
        <v>0</v>
      </c>
      <c r="D61" s="3">
        <f>'Input csv'!C158</f>
        <v>0</v>
      </c>
      <c r="E61" s="3">
        <f>'Input csv'!D158</f>
        <v>0</v>
      </c>
      <c r="F61" s="4">
        <f>'Input csv'!E158</f>
        <v>0</v>
      </c>
      <c r="G61" s="4">
        <f>'Input csv'!F158</f>
        <v>0</v>
      </c>
      <c r="H61" s="5">
        <f>'Input csv'!G158</f>
        <v>0</v>
      </c>
      <c r="I61" s="4">
        <f>'Input csv'!H158</f>
        <v>0</v>
      </c>
      <c r="J61" s="4">
        <f>'Input csv'!I158</f>
        <v>0</v>
      </c>
      <c r="K61" s="4">
        <f>'Input csv'!J158</f>
        <v>0</v>
      </c>
      <c r="L61" s="4">
        <f>'Input csv'!K158</f>
        <v>0</v>
      </c>
      <c r="M61" s="4">
        <f>'Input csv'!L158</f>
        <v>0</v>
      </c>
      <c r="N61" s="63">
        <f t="shared" si="0"/>
        <v>0</v>
      </c>
      <c r="O61" s="13">
        <f t="shared" si="15"/>
        <v>0</v>
      </c>
      <c r="P61" s="4">
        <f t="shared" si="3"/>
        <v>0</v>
      </c>
      <c r="Q61">
        <f t="shared" si="20"/>
        <v>0</v>
      </c>
      <c r="R61">
        <f>MEDIAN($P$1:P120)</f>
        <v>0</v>
      </c>
      <c r="S61" t="b">
        <f t="shared" si="10"/>
        <v>1</v>
      </c>
      <c r="T61" s="15">
        <f t="shared" si="16"/>
        <v>0</v>
      </c>
      <c r="U61" s="15">
        <f t="shared" si="17"/>
        <v>0</v>
      </c>
      <c r="V61" s="15">
        <f t="shared" si="18"/>
        <v>0</v>
      </c>
      <c r="W61" t="b">
        <f t="shared" si="19"/>
        <v>1</v>
      </c>
      <c r="X61">
        <f t="shared" si="21"/>
        <v>1</v>
      </c>
      <c r="Y61">
        <f t="shared" si="13"/>
        <v>12</v>
      </c>
      <c r="Z61">
        <f t="shared" si="6"/>
        <v>1</v>
      </c>
      <c r="AI61" s="15" t="str">
        <f t="shared" si="14"/>
        <v>0</v>
      </c>
      <c r="BE61" s="19">
        <f t="shared" si="11"/>
        <v>3.9583333333333318E-2</v>
      </c>
      <c r="BF61" t="e">
        <f t="shared" ca="1" si="7"/>
        <v>#VALUE!</v>
      </c>
    </row>
    <row r="62" spans="1:58" ht="12" customHeight="1">
      <c r="A62" s="31" t="str">
        <f>LEFT('Input csv'!A159,10)</f>
        <v/>
      </c>
      <c r="B62" s="19" t="e">
        <f t="shared" si="8"/>
        <v>#VALUE!</v>
      </c>
      <c r="C62" s="3">
        <f>'Input csv'!B159</f>
        <v>0</v>
      </c>
      <c r="D62" s="3">
        <f>'Input csv'!C159</f>
        <v>0</v>
      </c>
      <c r="E62" s="3">
        <f>'Input csv'!D159</f>
        <v>0</v>
      </c>
      <c r="F62" s="4">
        <f>'Input csv'!E159</f>
        <v>0</v>
      </c>
      <c r="G62" s="4">
        <f>'Input csv'!F159</f>
        <v>0</v>
      </c>
      <c r="H62" s="5">
        <f>'Input csv'!G159</f>
        <v>0</v>
      </c>
      <c r="I62" s="4">
        <f>'Input csv'!H159</f>
        <v>0</v>
      </c>
      <c r="J62" s="4">
        <f>'Input csv'!I159</f>
        <v>0</v>
      </c>
      <c r="K62" s="4">
        <f>'Input csv'!J159</f>
        <v>0</v>
      </c>
      <c r="L62" s="4">
        <f>'Input csv'!K159</f>
        <v>0</v>
      </c>
      <c r="M62" s="4">
        <f>'Input csv'!L159</f>
        <v>0</v>
      </c>
      <c r="N62" s="63">
        <f t="shared" si="0"/>
        <v>0</v>
      </c>
      <c r="O62" s="13">
        <f t="shared" si="15"/>
        <v>0</v>
      </c>
      <c r="P62" s="4">
        <f t="shared" si="3"/>
        <v>0</v>
      </c>
      <c r="Q62">
        <f t="shared" si="20"/>
        <v>0</v>
      </c>
      <c r="R62">
        <f>MEDIAN($P$1:P121)</f>
        <v>0</v>
      </c>
      <c r="S62" t="b">
        <f t="shared" si="10"/>
        <v>1</v>
      </c>
      <c r="T62" s="15">
        <f t="shared" si="16"/>
        <v>0</v>
      </c>
      <c r="U62" s="15">
        <f t="shared" si="17"/>
        <v>0</v>
      </c>
      <c r="V62" s="15">
        <f t="shared" si="18"/>
        <v>0</v>
      </c>
      <c r="W62" t="b">
        <f t="shared" si="19"/>
        <v>1</v>
      </c>
      <c r="X62">
        <f t="shared" si="21"/>
        <v>1</v>
      </c>
      <c r="Y62">
        <f t="shared" si="13"/>
        <v>12</v>
      </c>
      <c r="Z62">
        <f t="shared" si="6"/>
        <v>1</v>
      </c>
      <c r="AI62" s="15" t="str">
        <f t="shared" si="14"/>
        <v>0</v>
      </c>
      <c r="BE62" s="19">
        <f t="shared" si="11"/>
        <v>4.027777777777776E-2</v>
      </c>
      <c r="BF62" t="e">
        <f t="shared" ca="1" si="7"/>
        <v>#VALUE!</v>
      </c>
    </row>
    <row r="63" spans="1:58" ht="12" customHeight="1">
      <c r="A63" s="31" t="str">
        <f>LEFT('Input csv'!A160,10)</f>
        <v/>
      </c>
      <c r="B63" s="19" t="e">
        <f t="shared" si="8"/>
        <v>#VALUE!</v>
      </c>
      <c r="C63" s="3">
        <f>'Input csv'!B160</f>
        <v>0</v>
      </c>
      <c r="D63" s="3">
        <f>'Input csv'!C160</f>
        <v>0</v>
      </c>
      <c r="E63" s="3">
        <f>'Input csv'!D160</f>
        <v>0</v>
      </c>
      <c r="F63" s="4">
        <f>'Input csv'!E160</f>
        <v>0</v>
      </c>
      <c r="G63" s="4">
        <f>'Input csv'!F160</f>
        <v>0</v>
      </c>
      <c r="H63" s="5">
        <f>'Input csv'!G160</f>
        <v>0</v>
      </c>
      <c r="I63" s="4">
        <f>'Input csv'!H160</f>
        <v>0</v>
      </c>
      <c r="J63" s="4">
        <f>'Input csv'!I160</f>
        <v>0</v>
      </c>
      <c r="K63" s="4">
        <f>'Input csv'!J160</f>
        <v>0</v>
      </c>
      <c r="L63" s="4">
        <f>'Input csv'!K160</f>
        <v>0</v>
      </c>
      <c r="M63" s="4">
        <f>'Input csv'!L160</f>
        <v>0</v>
      </c>
      <c r="N63" s="63">
        <f t="shared" si="0"/>
        <v>0</v>
      </c>
      <c r="O63" s="13">
        <f t="shared" si="15"/>
        <v>0</v>
      </c>
      <c r="P63" s="4">
        <f t="shared" si="3"/>
        <v>0</v>
      </c>
      <c r="Q63">
        <f t="shared" si="20"/>
        <v>0</v>
      </c>
      <c r="R63">
        <f>MEDIAN($P$1:P122)</f>
        <v>0</v>
      </c>
      <c r="S63" t="b">
        <f t="shared" si="10"/>
        <v>1</v>
      </c>
      <c r="T63" s="15">
        <f t="shared" si="16"/>
        <v>0</v>
      </c>
      <c r="U63" s="15">
        <f t="shared" si="17"/>
        <v>0</v>
      </c>
      <c r="V63" s="15">
        <f t="shared" si="18"/>
        <v>0</v>
      </c>
      <c r="W63" t="b">
        <f t="shared" si="19"/>
        <v>1</v>
      </c>
      <c r="X63">
        <f t="shared" si="21"/>
        <v>1</v>
      </c>
      <c r="Y63">
        <f t="shared" si="13"/>
        <v>12</v>
      </c>
      <c r="Z63">
        <f t="shared" si="6"/>
        <v>1</v>
      </c>
      <c r="AI63" s="15" t="str">
        <f t="shared" si="14"/>
        <v>0</v>
      </c>
      <c r="BE63" s="19">
        <f t="shared" si="11"/>
        <v>4.0972222222222202E-2</v>
      </c>
      <c r="BF63" t="e">
        <f t="shared" ca="1" si="7"/>
        <v>#VALUE!</v>
      </c>
    </row>
    <row r="64" spans="1:58" ht="12" customHeight="1">
      <c r="A64" s="31" t="str">
        <f>LEFT('Input csv'!A161,10)</f>
        <v/>
      </c>
      <c r="B64" s="19" t="e">
        <f t="shared" si="8"/>
        <v>#VALUE!</v>
      </c>
      <c r="C64" s="3">
        <f>'Input csv'!B161</f>
        <v>0</v>
      </c>
      <c r="D64" s="3">
        <f>'Input csv'!C161</f>
        <v>0</v>
      </c>
      <c r="E64" s="3">
        <f>'Input csv'!D161</f>
        <v>0</v>
      </c>
      <c r="F64" s="4">
        <f>'Input csv'!E161</f>
        <v>0</v>
      </c>
      <c r="G64" s="4">
        <f>'Input csv'!F161</f>
        <v>0</v>
      </c>
      <c r="H64" s="5">
        <f>'Input csv'!G161</f>
        <v>0</v>
      </c>
      <c r="I64" s="4">
        <f>'Input csv'!H161</f>
        <v>0</v>
      </c>
      <c r="J64" s="4">
        <f>'Input csv'!I161</f>
        <v>0</v>
      </c>
      <c r="K64" s="4">
        <f>'Input csv'!J161</f>
        <v>0</v>
      </c>
      <c r="L64" s="4">
        <f>'Input csv'!K161</f>
        <v>0</v>
      </c>
      <c r="M64" s="4">
        <f>'Input csv'!L161</f>
        <v>0</v>
      </c>
      <c r="N64" s="63">
        <f t="shared" si="0"/>
        <v>0</v>
      </c>
      <c r="O64" s="13">
        <f t="shared" si="15"/>
        <v>0</v>
      </c>
      <c r="P64" s="4">
        <f t="shared" si="3"/>
        <v>0</v>
      </c>
      <c r="Q64">
        <f t="shared" si="20"/>
        <v>0</v>
      </c>
      <c r="R64">
        <f>MEDIAN($P$1:P123)</f>
        <v>0</v>
      </c>
      <c r="S64" t="b">
        <f t="shared" si="10"/>
        <v>1</v>
      </c>
      <c r="T64" s="15">
        <f t="shared" si="16"/>
        <v>0</v>
      </c>
      <c r="U64" s="15">
        <f t="shared" si="17"/>
        <v>0</v>
      </c>
      <c r="V64" s="15">
        <f t="shared" si="18"/>
        <v>0</v>
      </c>
      <c r="W64" t="b">
        <f t="shared" si="19"/>
        <v>1</v>
      </c>
      <c r="X64">
        <f t="shared" si="21"/>
        <v>1</v>
      </c>
      <c r="Y64">
        <f t="shared" si="13"/>
        <v>12</v>
      </c>
      <c r="Z64">
        <f t="shared" si="6"/>
        <v>1</v>
      </c>
      <c r="AI64" s="15" t="str">
        <f t="shared" si="14"/>
        <v>0</v>
      </c>
      <c r="BE64" s="19">
        <f t="shared" si="11"/>
        <v>4.1666666666666644E-2</v>
      </c>
      <c r="BF64" t="e">
        <f t="shared" ca="1" si="7"/>
        <v>#VALUE!</v>
      </c>
    </row>
    <row r="65" spans="1:58" ht="12" customHeight="1">
      <c r="A65" s="31" t="str">
        <f>LEFT('Input csv'!A162,10)</f>
        <v/>
      </c>
      <c r="B65" s="19" t="e">
        <f t="shared" si="8"/>
        <v>#VALUE!</v>
      </c>
      <c r="C65" s="3">
        <f>'Input csv'!B162</f>
        <v>0</v>
      </c>
      <c r="D65" s="3">
        <f>'Input csv'!C162</f>
        <v>0</v>
      </c>
      <c r="E65" s="3">
        <f>'Input csv'!D162</f>
        <v>0</v>
      </c>
      <c r="F65" s="4">
        <f>'Input csv'!E162</f>
        <v>0</v>
      </c>
      <c r="G65" s="4">
        <f>'Input csv'!F162</f>
        <v>0</v>
      </c>
      <c r="H65" s="5">
        <f>'Input csv'!G162</f>
        <v>0</v>
      </c>
      <c r="I65" s="4">
        <f>'Input csv'!H162</f>
        <v>0</v>
      </c>
      <c r="J65" s="4">
        <f>'Input csv'!I162</f>
        <v>0</v>
      </c>
      <c r="K65" s="4">
        <f>'Input csv'!J162</f>
        <v>0</v>
      </c>
      <c r="L65" s="4">
        <f>'Input csv'!K162</f>
        <v>0</v>
      </c>
      <c r="M65" s="4">
        <f>'Input csv'!L162</f>
        <v>0</v>
      </c>
      <c r="N65" s="63">
        <f t="shared" si="0"/>
        <v>0</v>
      </c>
      <c r="O65" s="13">
        <f t="shared" si="15"/>
        <v>0</v>
      </c>
      <c r="P65" s="4">
        <f t="shared" si="3"/>
        <v>0</v>
      </c>
      <c r="Q65">
        <f t="shared" si="20"/>
        <v>0</v>
      </c>
      <c r="R65" s="4">
        <f>MEDIAN(P4:P124)</f>
        <v>0</v>
      </c>
      <c r="S65" t="b">
        <f t="shared" si="10"/>
        <v>1</v>
      </c>
      <c r="T65" s="15">
        <f t="shared" si="16"/>
        <v>0</v>
      </c>
      <c r="U65" s="15">
        <f t="shared" si="17"/>
        <v>0</v>
      </c>
      <c r="V65" s="15">
        <f t="shared" si="18"/>
        <v>0</v>
      </c>
      <c r="W65" t="b">
        <f t="shared" si="19"/>
        <v>1</v>
      </c>
      <c r="X65">
        <f t="shared" si="21"/>
        <v>1</v>
      </c>
      <c r="Y65">
        <f t="shared" si="13"/>
        <v>12</v>
      </c>
      <c r="Z65">
        <f t="shared" si="6"/>
        <v>1</v>
      </c>
      <c r="AI65" s="15" t="str">
        <f t="shared" si="14"/>
        <v>0</v>
      </c>
      <c r="BE65" s="19">
        <f t="shared" si="11"/>
        <v>4.2361111111111086E-2</v>
      </c>
      <c r="BF65" t="e">
        <f t="shared" ca="1" si="7"/>
        <v>#VALUE!</v>
      </c>
    </row>
    <row r="66" spans="1:58" ht="12" customHeight="1">
      <c r="R66" s="4"/>
      <c r="BE66" s="19">
        <f t="shared" si="11"/>
        <v>4.3055555555555527E-2</v>
      </c>
      <c r="BF66" t="e">
        <f t="shared" ca="1" si="7"/>
        <v>#VALUE!</v>
      </c>
    </row>
    <row r="67" spans="1:58" ht="12" customHeight="1">
      <c r="BE67" s="19">
        <f t="shared" si="11"/>
        <v>4.3749999999999969E-2</v>
      </c>
      <c r="BF67" t="e">
        <f t="shared" ca="1" si="7"/>
        <v>#VALUE!</v>
      </c>
    </row>
    <row r="68" spans="1:58" ht="12" customHeight="1">
      <c r="BE68" s="19">
        <f t="shared" si="11"/>
        <v>4.4444444444444411E-2</v>
      </c>
      <c r="BF68" t="e">
        <f t="shared" ca="1" si="7"/>
        <v>#VALUE!</v>
      </c>
    </row>
    <row r="69" spans="1:58" ht="12" customHeight="1">
      <c r="BE69" s="19">
        <f t="shared" si="11"/>
        <v>4.5138888888888853E-2</v>
      </c>
      <c r="BF69" t="e">
        <f t="shared" ref="BF69:BF132" ca="1" si="22">IF(BE69&lt;$B$5-1/1440,0,OFFSET($N$4,(BE69-$B$4)*1440,0,1,1))</f>
        <v>#VALUE!</v>
      </c>
    </row>
    <row r="70" spans="1:58" ht="12" customHeight="1">
      <c r="BE70" s="19">
        <f t="shared" ref="BE70:BE133" si="23">BE69+1/1440</f>
        <v>4.5833333333333295E-2</v>
      </c>
      <c r="BF70" t="e">
        <f t="shared" ca="1" si="22"/>
        <v>#VALUE!</v>
      </c>
    </row>
    <row r="71" spans="1:58" ht="12" customHeight="1">
      <c r="BE71" s="19">
        <f t="shared" si="23"/>
        <v>4.6527777777777737E-2</v>
      </c>
      <c r="BF71" t="e">
        <f t="shared" ca="1" si="22"/>
        <v>#VALUE!</v>
      </c>
    </row>
    <row r="72" spans="1:58" ht="12" customHeight="1">
      <c r="BE72" s="19">
        <f t="shared" si="23"/>
        <v>4.7222222222222179E-2</v>
      </c>
      <c r="BF72" t="e">
        <f t="shared" ca="1" si="22"/>
        <v>#VALUE!</v>
      </c>
    </row>
    <row r="73" spans="1:58" ht="12" customHeight="1">
      <c r="BE73" s="19">
        <f t="shared" si="23"/>
        <v>4.7916666666666621E-2</v>
      </c>
      <c r="BF73" t="e">
        <f t="shared" ca="1" si="22"/>
        <v>#VALUE!</v>
      </c>
    </row>
    <row r="74" spans="1:58" ht="12" customHeight="1">
      <c r="BE74" s="19">
        <f t="shared" si="23"/>
        <v>4.8611111111111063E-2</v>
      </c>
      <c r="BF74" t="e">
        <f t="shared" ca="1" si="22"/>
        <v>#VALUE!</v>
      </c>
    </row>
    <row r="75" spans="1:58" ht="12" customHeight="1">
      <c r="BE75" s="19">
        <f t="shared" si="23"/>
        <v>4.9305555555555505E-2</v>
      </c>
      <c r="BF75" t="e">
        <f t="shared" ca="1" si="22"/>
        <v>#VALUE!</v>
      </c>
    </row>
    <row r="76" spans="1:58" ht="12" customHeight="1">
      <c r="BE76" s="19">
        <f t="shared" si="23"/>
        <v>4.9999999999999947E-2</v>
      </c>
      <c r="BF76" t="e">
        <f t="shared" ca="1" si="22"/>
        <v>#VALUE!</v>
      </c>
    </row>
    <row r="77" spans="1:58" ht="12" customHeight="1">
      <c r="BE77" s="19">
        <f t="shared" si="23"/>
        <v>5.0694444444444389E-2</v>
      </c>
      <c r="BF77" t="e">
        <f t="shared" ca="1" si="22"/>
        <v>#VALUE!</v>
      </c>
    </row>
    <row r="78" spans="1:58" ht="12" customHeight="1">
      <c r="BE78" s="19">
        <f t="shared" si="23"/>
        <v>5.1388888888888831E-2</v>
      </c>
      <c r="BF78" t="e">
        <f t="shared" ca="1" si="22"/>
        <v>#VALUE!</v>
      </c>
    </row>
    <row r="79" spans="1:58" ht="12" customHeight="1">
      <c r="BE79" s="19">
        <f t="shared" si="23"/>
        <v>5.2083333333333273E-2</v>
      </c>
      <c r="BF79" t="e">
        <f t="shared" ca="1" si="22"/>
        <v>#VALUE!</v>
      </c>
    </row>
    <row r="80" spans="1:58" ht="12" customHeight="1">
      <c r="BE80" s="19">
        <f t="shared" si="23"/>
        <v>5.2777777777777715E-2</v>
      </c>
      <c r="BF80" t="e">
        <f t="shared" ca="1" si="22"/>
        <v>#VALUE!</v>
      </c>
    </row>
    <row r="81" spans="57:58" ht="12" customHeight="1">
      <c r="BE81" s="19">
        <f t="shared" si="23"/>
        <v>5.3472222222222157E-2</v>
      </c>
      <c r="BF81" t="e">
        <f t="shared" ca="1" si="22"/>
        <v>#VALUE!</v>
      </c>
    </row>
    <row r="82" spans="57:58" ht="12" customHeight="1">
      <c r="BE82" s="19">
        <f t="shared" si="23"/>
        <v>5.4166666666666599E-2</v>
      </c>
      <c r="BF82" t="e">
        <f t="shared" ca="1" si="22"/>
        <v>#VALUE!</v>
      </c>
    </row>
    <row r="83" spans="57:58" ht="12" customHeight="1">
      <c r="BE83" s="19">
        <f t="shared" si="23"/>
        <v>5.4861111111111041E-2</v>
      </c>
      <c r="BF83" t="e">
        <f t="shared" ca="1" si="22"/>
        <v>#VALUE!</v>
      </c>
    </row>
    <row r="84" spans="57:58" ht="12" customHeight="1">
      <c r="BE84" s="19">
        <f t="shared" si="23"/>
        <v>5.5555555555555483E-2</v>
      </c>
      <c r="BF84" t="e">
        <f t="shared" ca="1" si="22"/>
        <v>#VALUE!</v>
      </c>
    </row>
    <row r="85" spans="57:58" ht="12" customHeight="1">
      <c r="BE85" s="19">
        <f t="shared" si="23"/>
        <v>5.6249999999999925E-2</v>
      </c>
      <c r="BF85" t="e">
        <f t="shared" ca="1" si="22"/>
        <v>#VALUE!</v>
      </c>
    </row>
    <row r="86" spans="57:58" ht="12" customHeight="1">
      <c r="BE86" s="19">
        <f t="shared" si="23"/>
        <v>5.6944444444444367E-2</v>
      </c>
      <c r="BF86" t="e">
        <f t="shared" ca="1" si="22"/>
        <v>#VALUE!</v>
      </c>
    </row>
    <row r="87" spans="57:58" ht="12" customHeight="1">
      <c r="BE87" s="19">
        <f t="shared" si="23"/>
        <v>5.7638888888888809E-2</v>
      </c>
      <c r="BF87" t="e">
        <f t="shared" ca="1" si="22"/>
        <v>#VALUE!</v>
      </c>
    </row>
    <row r="88" spans="57:58" ht="12" customHeight="1">
      <c r="BE88" s="19">
        <f t="shared" si="23"/>
        <v>5.8333333333333251E-2</v>
      </c>
      <c r="BF88" t="e">
        <f t="shared" ca="1" si="22"/>
        <v>#VALUE!</v>
      </c>
    </row>
    <row r="89" spans="57:58" ht="12" customHeight="1">
      <c r="BE89" s="19">
        <f t="shared" si="23"/>
        <v>5.9027777777777693E-2</v>
      </c>
      <c r="BF89" t="e">
        <f t="shared" ca="1" si="22"/>
        <v>#VALUE!</v>
      </c>
    </row>
    <row r="90" spans="57:58" ht="12" customHeight="1">
      <c r="BE90" s="19">
        <f t="shared" si="23"/>
        <v>5.9722222222222135E-2</v>
      </c>
      <c r="BF90" t="e">
        <f t="shared" ca="1" si="22"/>
        <v>#VALUE!</v>
      </c>
    </row>
    <row r="91" spans="57:58" ht="12" customHeight="1">
      <c r="BE91" s="19">
        <f t="shared" si="23"/>
        <v>6.0416666666666577E-2</v>
      </c>
      <c r="BF91" t="e">
        <f t="shared" ca="1" si="22"/>
        <v>#VALUE!</v>
      </c>
    </row>
    <row r="92" spans="57:58" ht="12" customHeight="1">
      <c r="BE92" s="19">
        <f t="shared" si="23"/>
        <v>6.1111111111111019E-2</v>
      </c>
      <c r="BF92" t="e">
        <f t="shared" ca="1" si="22"/>
        <v>#VALUE!</v>
      </c>
    </row>
    <row r="93" spans="57:58" ht="12" customHeight="1">
      <c r="BE93" s="19">
        <f t="shared" si="23"/>
        <v>6.1805555555555461E-2</v>
      </c>
      <c r="BF93" t="e">
        <f t="shared" ca="1" si="22"/>
        <v>#VALUE!</v>
      </c>
    </row>
    <row r="94" spans="57:58" ht="12" customHeight="1">
      <c r="BE94" s="19">
        <f t="shared" si="23"/>
        <v>6.2499999999999903E-2</v>
      </c>
      <c r="BF94" t="e">
        <f t="shared" ca="1" si="22"/>
        <v>#VALUE!</v>
      </c>
    </row>
    <row r="95" spans="57:58" ht="12" customHeight="1">
      <c r="BE95" s="19">
        <f t="shared" si="23"/>
        <v>6.3194444444444345E-2</v>
      </c>
      <c r="BF95" t="e">
        <f t="shared" ca="1" si="22"/>
        <v>#VALUE!</v>
      </c>
    </row>
    <row r="96" spans="57:58" ht="12" customHeight="1">
      <c r="BE96" s="19">
        <f t="shared" si="23"/>
        <v>6.3888888888888787E-2</v>
      </c>
      <c r="BF96" t="e">
        <f t="shared" ca="1" si="22"/>
        <v>#VALUE!</v>
      </c>
    </row>
    <row r="97" spans="57:58" ht="12" customHeight="1">
      <c r="BE97" s="19">
        <f t="shared" si="23"/>
        <v>6.4583333333333229E-2</v>
      </c>
      <c r="BF97" t="e">
        <f t="shared" ca="1" si="22"/>
        <v>#VALUE!</v>
      </c>
    </row>
    <row r="98" spans="57:58" ht="12" customHeight="1">
      <c r="BE98" s="19">
        <f t="shared" si="23"/>
        <v>6.5277777777777671E-2</v>
      </c>
      <c r="BF98" t="e">
        <f t="shared" ca="1" si="22"/>
        <v>#VALUE!</v>
      </c>
    </row>
    <row r="99" spans="57:58" ht="12" customHeight="1">
      <c r="BE99" s="19">
        <f t="shared" si="23"/>
        <v>6.5972222222222113E-2</v>
      </c>
      <c r="BF99" t="e">
        <f t="shared" ca="1" si="22"/>
        <v>#VALUE!</v>
      </c>
    </row>
    <row r="100" spans="57:58" ht="12" customHeight="1">
      <c r="BE100" s="19">
        <f t="shared" si="23"/>
        <v>6.6666666666666555E-2</v>
      </c>
      <c r="BF100" t="e">
        <f t="shared" ca="1" si="22"/>
        <v>#VALUE!</v>
      </c>
    </row>
    <row r="101" spans="57:58" ht="12" customHeight="1">
      <c r="BE101" s="19">
        <f t="shared" si="23"/>
        <v>6.7361111111110997E-2</v>
      </c>
      <c r="BF101" t="e">
        <f t="shared" ca="1" si="22"/>
        <v>#VALUE!</v>
      </c>
    </row>
    <row r="102" spans="57:58" ht="12" customHeight="1">
      <c r="BE102" s="19">
        <f t="shared" si="23"/>
        <v>6.8055555555555439E-2</v>
      </c>
      <c r="BF102" t="e">
        <f t="shared" ca="1" si="22"/>
        <v>#VALUE!</v>
      </c>
    </row>
    <row r="103" spans="57:58" ht="12" customHeight="1">
      <c r="BE103" s="19">
        <f t="shared" si="23"/>
        <v>6.8749999999999881E-2</v>
      </c>
      <c r="BF103" t="e">
        <f t="shared" ca="1" si="22"/>
        <v>#VALUE!</v>
      </c>
    </row>
    <row r="104" spans="57:58" ht="12" customHeight="1">
      <c r="BE104" s="19">
        <f t="shared" si="23"/>
        <v>6.9444444444444323E-2</v>
      </c>
      <c r="BF104" t="e">
        <f t="shared" ca="1" si="22"/>
        <v>#VALUE!</v>
      </c>
    </row>
    <row r="105" spans="57:58" ht="12" customHeight="1">
      <c r="BE105" s="19">
        <f t="shared" si="23"/>
        <v>7.0138888888888765E-2</v>
      </c>
      <c r="BF105" t="e">
        <f t="shared" ca="1" si="22"/>
        <v>#VALUE!</v>
      </c>
    </row>
    <row r="106" spans="57:58" ht="12" customHeight="1">
      <c r="BE106" s="19">
        <f t="shared" si="23"/>
        <v>7.0833333333333207E-2</v>
      </c>
      <c r="BF106" t="e">
        <f t="shared" ca="1" si="22"/>
        <v>#VALUE!</v>
      </c>
    </row>
    <row r="107" spans="57:58" ht="12" customHeight="1">
      <c r="BE107" s="19">
        <f t="shared" si="23"/>
        <v>7.1527777777777649E-2</v>
      </c>
      <c r="BF107" t="e">
        <f t="shared" ca="1" si="22"/>
        <v>#VALUE!</v>
      </c>
    </row>
    <row r="108" spans="57:58" ht="12" customHeight="1">
      <c r="BE108" s="19">
        <f t="shared" si="23"/>
        <v>7.2222222222222091E-2</v>
      </c>
      <c r="BF108" t="e">
        <f t="shared" ca="1" si="22"/>
        <v>#VALUE!</v>
      </c>
    </row>
    <row r="109" spans="57:58" ht="12" customHeight="1">
      <c r="BE109" s="19">
        <f t="shared" si="23"/>
        <v>7.2916666666666533E-2</v>
      </c>
      <c r="BF109" t="e">
        <f t="shared" ca="1" si="22"/>
        <v>#VALUE!</v>
      </c>
    </row>
    <row r="110" spans="57:58" ht="12" customHeight="1">
      <c r="BE110" s="19">
        <f t="shared" si="23"/>
        <v>7.3611111111110974E-2</v>
      </c>
      <c r="BF110" t="e">
        <f t="shared" ca="1" si="22"/>
        <v>#VALUE!</v>
      </c>
    </row>
    <row r="111" spans="57:58" ht="12" customHeight="1">
      <c r="BE111" s="19">
        <f t="shared" si="23"/>
        <v>7.4305555555555416E-2</v>
      </c>
      <c r="BF111" t="e">
        <f t="shared" ca="1" si="22"/>
        <v>#VALUE!</v>
      </c>
    </row>
    <row r="112" spans="57:58" ht="12" customHeight="1">
      <c r="BE112" s="19">
        <f t="shared" si="23"/>
        <v>7.4999999999999858E-2</v>
      </c>
      <c r="BF112" t="e">
        <f t="shared" ca="1" si="22"/>
        <v>#VALUE!</v>
      </c>
    </row>
    <row r="113" spans="57:58" ht="12" customHeight="1">
      <c r="BE113" s="19">
        <f t="shared" si="23"/>
        <v>7.56944444444443E-2</v>
      </c>
      <c r="BF113" t="e">
        <f t="shared" ca="1" si="22"/>
        <v>#VALUE!</v>
      </c>
    </row>
    <row r="114" spans="57:58" ht="12" customHeight="1">
      <c r="BE114" s="19">
        <f t="shared" si="23"/>
        <v>7.6388888888888742E-2</v>
      </c>
      <c r="BF114" t="e">
        <f t="shared" ca="1" si="22"/>
        <v>#VALUE!</v>
      </c>
    </row>
    <row r="115" spans="57:58" ht="12" customHeight="1">
      <c r="BE115" s="19">
        <f t="shared" si="23"/>
        <v>7.7083333333333184E-2</v>
      </c>
      <c r="BF115" t="e">
        <f t="shared" ca="1" si="22"/>
        <v>#VALUE!</v>
      </c>
    </row>
    <row r="116" spans="57:58" ht="12" customHeight="1">
      <c r="BE116" s="19">
        <f t="shared" si="23"/>
        <v>7.7777777777777626E-2</v>
      </c>
      <c r="BF116" t="e">
        <f t="shared" ca="1" si="22"/>
        <v>#VALUE!</v>
      </c>
    </row>
    <row r="117" spans="57:58" ht="12" customHeight="1">
      <c r="BE117" s="19">
        <f t="shared" si="23"/>
        <v>7.8472222222222068E-2</v>
      </c>
      <c r="BF117" t="e">
        <f t="shared" ca="1" si="22"/>
        <v>#VALUE!</v>
      </c>
    </row>
    <row r="118" spans="57:58" ht="12" customHeight="1">
      <c r="BE118" s="19">
        <f t="shared" si="23"/>
        <v>7.916666666666651E-2</v>
      </c>
      <c r="BF118" t="e">
        <f t="shared" ca="1" si="22"/>
        <v>#VALUE!</v>
      </c>
    </row>
    <row r="119" spans="57:58" ht="12" customHeight="1">
      <c r="BE119" s="19">
        <f t="shared" si="23"/>
        <v>7.9861111111110952E-2</v>
      </c>
      <c r="BF119" t="e">
        <f t="shared" ca="1" si="22"/>
        <v>#VALUE!</v>
      </c>
    </row>
    <row r="120" spans="57:58" ht="12" customHeight="1">
      <c r="BE120" s="19">
        <f t="shared" si="23"/>
        <v>8.0555555555555394E-2</v>
      </c>
      <c r="BF120" t="e">
        <f t="shared" ca="1" si="22"/>
        <v>#VALUE!</v>
      </c>
    </row>
    <row r="121" spans="57:58" ht="12" customHeight="1">
      <c r="BE121" s="19">
        <f t="shared" si="23"/>
        <v>8.1249999999999836E-2</v>
      </c>
      <c r="BF121" t="e">
        <f t="shared" ca="1" si="22"/>
        <v>#VALUE!</v>
      </c>
    </row>
    <row r="122" spans="57:58" ht="12" customHeight="1">
      <c r="BE122" s="19">
        <f t="shared" si="23"/>
        <v>8.1944444444444278E-2</v>
      </c>
      <c r="BF122" t="e">
        <f t="shared" ca="1" si="22"/>
        <v>#VALUE!</v>
      </c>
    </row>
    <row r="123" spans="57:58" ht="12" customHeight="1">
      <c r="BE123" s="19">
        <f t="shared" si="23"/>
        <v>8.263888888888872E-2</v>
      </c>
      <c r="BF123" t="e">
        <f t="shared" ca="1" si="22"/>
        <v>#VALUE!</v>
      </c>
    </row>
    <row r="124" spans="57:58" ht="12" customHeight="1">
      <c r="BE124" s="19">
        <f t="shared" si="23"/>
        <v>8.3333333333333162E-2</v>
      </c>
      <c r="BF124" t="e">
        <f t="shared" ca="1" si="22"/>
        <v>#VALUE!</v>
      </c>
    </row>
    <row r="125" spans="57:58" ht="12" customHeight="1">
      <c r="BE125" s="19">
        <f t="shared" si="23"/>
        <v>8.4027777777777604E-2</v>
      </c>
      <c r="BF125" t="e">
        <f t="shared" ca="1" si="22"/>
        <v>#VALUE!</v>
      </c>
    </row>
    <row r="126" spans="57:58" ht="12" customHeight="1">
      <c r="BE126" s="19">
        <f t="shared" si="23"/>
        <v>8.4722222222222046E-2</v>
      </c>
      <c r="BF126" t="e">
        <f t="shared" ca="1" si="22"/>
        <v>#VALUE!</v>
      </c>
    </row>
    <row r="127" spans="57:58" ht="12" customHeight="1">
      <c r="BE127" s="19">
        <f t="shared" si="23"/>
        <v>8.5416666666666488E-2</v>
      </c>
      <c r="BF127" t="e">
        <f t="shared" ca="1" si="22"/>
        <v>#VALUE!</v>
      </c>
    </row>
    <row r="128" spans="57:58" ht="12" customHeight="1">
      <c r="BE128" s="19">
        <f t="shared" si="23"/>
        <v>8.611111111111093E-2</v>
      </c>
      <c r="BF128" t="e">
        <f t="shared" ca="1" si="22"/>
        <v>#VALUE!</v>
      </c>
    </row>
    <row r="129" spans="57:58" ht="12" customHeight="1">
      <c r="BE129" s="19">
        <f t="shared" si="23"/>
        <v>8.6805555555555372E-2</v>
      </c>
      <c r="BF129" t="e">
        <f t="shared" ca="1" si="22"/>
        <v>#VALUE!</v>
      </c>
    </row>
    <row r="130" spans="57:58" ht="12" customHeight="1">
      <c r="BE130" s="19">
        <f t="shared" si="23"/>
        <v>8.7499999999999814E-2</v>
      </c>
      <c r="BF130" t="e">
        <f t="shared" ca="1" si="22"/>
        <v>#VALUE!</v>
      </c>
    </row>
    <row r="131" spans="57:58" ht="12" customHeight="1">
      <c r="BE131" s="19">
        <f t="shared" si="23"/>
        <v>8.8194444444444256E-2</v>
      </c>
      <c r="BF131" t="e">
        <f t="shared" ca="1" si="22"/>
        <v>#VALUE!</v>
      </c>
    </row>
    <row r="132" spans="57:58" ht="12" customHeight="1">
      <c r="BE132" s="19">
        <f t="shared" si="23"/>
        <v>8.8888888888888698E-2</v>
      </c>
      <c r="BF132" t="e">
        <f t="shared" ca="1" si="22"/>
        <v>#VALUE!</v>
      </c>
    </row>
    <row r="133" spans="57:58" ht="12" customHeight="1">
      <c r="BE133" s="19">
        <f t="shared" si="23"/>
        <v>8.958333333333314E-2</v>
      </c>
      <c r="BF133" t="e">
        <f t="shared" ref="BF133:BF196" ca="1" si="24">IF(BE133&lt;$B$5-1/1440,0,OFFSET($N$4,(BE133-$B$4)*1440,0,1,1))</f>
        <v>#VALUE!</v>
      </c>
    </row>
    <row r="134" spans="57:58" ht="12" customHeight="1">
      <c r="BE134" s="19">
        <f t="shared" ref="BE134:BE197" si="25">BE133+1/1440</f>
        <v>9.0277777777777582E-2</v>
      </c>
      <c r="BF134" t="e">
        <f t="shared" ca="1" si="24"/>
        <v>#VALUE!</v>
      </c>
    </row>
    <row r="135" spans="57:58" ht="12" customHeight="1">
      <c r="BE135" s="19">
        <f t="shared" si="25"/>
        <v>9.0972222222222024E-2</v>
      </c>
      <c r="BF135" t="e">
        <f t="shared" ca="1" si="24"/>
        <v>#VALUE!</v>
      </c>
    </row>
    <row r="136" spans="57:58" ht="12" customHeight="1">
      <c r="BE136" s="19">
        <f t="shared" si="25"/>
        <v>9.1666666666666466E-2</v>
      </c>
      <c r="BF136" t="e">
        <f t="shared" ca="1" si="24"/>
        <v>#VALUE!</v>
      </c>
    </row>
    <row r="137" spans="57:58" ht="12" customHeight="1">
      <c r="BE137" s="19">
        <f t="shared" si="25"/>
        <v>9.2361111111110908E-2</v>
      </c>
      <c r="BF137" t="e">
        <f t="shared" ca="1" si="24"/>
        <v>#VALUE!</v>
      </c>
    </row>
    <row r="138" spans="57:58" ht="12" customHeight="1">
      <c r="BE138" s="19">
        <f t="shared" si="25"/>
        <v>9.305555555555535E-2</v>
      </c>
      <c r="BF138" t="e">
        <f t="shared" ca="1" si="24"/>
        <v>#VALUE!</v>
      </c>
    </row>
    <row r="139" spans="57:58" ht="12" customHeight="1">
      <c r="BE139" s="19">
        <f t="shared" si="25"/>
        <v>9.3749999999999792E-2</v>
      </c>
      <c r="BF139" t="e">
        <f t="shared" ca="1" si="24"/>
        <v>#VALUE!</v>
      </c>
    </row>
    <row r="140" spans="57:58" ht="12" customHeight="1">
      <c r="BE140" s="19">
        <f t="shared" si="25"/>
        <v>9.4444444444444234E-2</v>
      </c>
      <c r="BF140" t="e">
        <f t="shared" ca="1" si="24"/>
        <v>#VALUE!</v>
      </c>
    </row>
    <row r="141" spans="57:58" ht="12" customHeight="1">
      <c r="BE141" s="19">
        <f t="shared" si="25"/>
        <v>9.5138888888888676E-2</v>
      </c>
      <c r="BF141" t="e">
        <f t="shared" ca="1" si="24"/>
        <v>#VALUE!</v>
      </c>
    </row>
    <row r="142" spans="57:58" ht="12" customHeight="1">
      <c r="BE142" s="19">
        <f t="shared" si="25"/>
        <v>9.5833333333333118E-2</v>
      </c>
      <c r="BF142" t="e">
        <f t="shared" ca="1" si="24"/>
        <v>#VALUE!</v>
      </c>
    </row>
    <row r="143" spans="57:58" ht="12" customHeight="1">
      <c r="BE143" s="19">
        <f t="shared" si="25"/>
        <v>9.652777777777756E-2</v>
      </c>
      <c r="BF143" t="e">
        <f t="shared" ca="1" si="24"/>
        <v>#VALUE!</v>
      </c>
    </row>
    <row r="144" spans="57:58" ht="12" customHeight="1">
      <c r="BE144" s="19">
        <f t="shared" si="25"/>
        <v>9.7222222222222002E-2</v>
      </c>
      <c r="BF144" t="e">
        <f t="shared" ca="1" si="24"/>
        <v>#VALUE!</v>
      </c>
    </row>
    <row r="145" spans="57:58" ht="12" customHeight="1">
      <c r="BE145" s="19">
        <f t="shared" si="25"/>
        <v>9.7916666666666444E-2</v>
      </c>
      <c r="BF145" t="e">
        <f t="shared" ca="1" si="24"/>
        <v>#VALUE!</v>
      </c>
    </row>
    <row r="146" spans="57:58" ht="12" customHeight="1">
      <c r="BE146" s="19">
        <f t="shared" si="25"/>
        <v>9.8611111111110886E-2</v>
      </c>
      <c r="BF146" t="e">
        <f t="shared" ca="1" si="24"/>
        <v>#VALUE!</v>
      </c>
    </row>
    <row r="147" spans="57:58" ht="12" customHeight="1">
      <c r="BE147" s="19">
        <f t="shared" si="25"/>
        <v>9.9305555555555328E-2</v>
      </c>
      <c r="BF147" t="e">
        <f t="shared" ca="1" si="24"/>
        <v>#VALUE!</v>
      </c>
    </row>
    <row r="148" spans="57:58" ht="12" customHeight="1">
      <c r="BE148" s="19">
        <f t="shared" si="25"/>
        <v>9.999999999999977E-2</v>
      </c>
      <c r="BF148" t="e">
        <f t="shared" ca="1" si="24"/>
        <v>#VALUE!</v>
      </c>
    </row>
    <row r="149" spans="57:58" ht="12" customHeight="1">
      <c r="BE149" s="19">
        <f t="shared" si="25"/>
        <v>0.10069444444444421</v>
      </c>
      <c r="BF149" t="e">
        <f t="shared" ca="1" si="24"/>
        <v>#VALUE!</v>
      </c>
    </row>
    <row r="150" spans="57:58" ht="12" customHeight="1">
      <c r="BE150" s="19">
        <f t="shared" si="25"/>
        <v>0.10138888888888865</v>
      </c>
      <c r="BF150" t="e">
        <f t="shared" ca="1" si="24"/>
        <v>#VALUE!</v>
      </c>
    </row>
    <row r="151" spans="57:58" ht="12" customHeight="1">
      <c r="BE151" s="19">
        <f t="shared" si="25"/>
        <v>0.1020833333333331</v>
      </c>
      <c r="BF151" t="e">
        <f t="shared" ca="1" si="24"/>
        <v>#VALUE!</v>
      </c>
    </row>
    <row r="152" spans="57:58" ht="12" customHeight="1">
      <c r="BE152" s="19">
        <f t="shared" si="25"/>
        <v>0.10277777777777754</v>
      </c>
      <c r="BF152" t="e">
        <f t="shared" ca="1" si="24"/>
        <v>#VALUE!</v>
      </c>
    </row>
    <row r="153" spans="57:58" ht="12" customHeight="1">
      <c r="BE153" s="19">
        <f t="shared" si="25"/>
        <v>0.10347222222222198</v>
      </c>
      <c r="BF153" t="e">
        <f t="shared" ca="1" si="24"/>
        <v>#VALUE!</v>
      </c>
    </row>
    <row r="154" spans="57:58" ht="12" customHeight="1">
      <c r="BE154" s="19">
        <f t="shared" si="25"/>
        <v>0.10416666666666642</v>
      </c>
      <c r="BF154" t="e">
        <f t="shared" ca="1" si="24"/>
        <v>#VALUE!</v>
      </c>
    </row>
    <row r="155" spans="57:58" ht="12" customHeight="1">
      <c r="BE155" s="19">
        <f t="shared" si="25"/>
        <v>0.10486111111111086</v>
      </c>
      <c r="BF155" t="e">
        <f t="shared" ca="1" si="24"/>
        <v>#VALUE!</v>
      </c>
    </row>
    <row r="156" spans="57:58" ht="12" customHeight="1">
      <c r="BE156" s="19">
        <f t="shared" si="25"/>
        <v>0.10555555555555531</v>
      </c>
      <c r="BF156" t="e">
        <f t="shared" ca="1" si="24"/>
        <v>#VALUE!</v>
      </c>
    </row>
    <row r="157" spans="57:58" ht="12" customHeight="1">
      <c r="BE157" s="19">
        <f t="shared" si="25"/>
        <v>0.10624999999999975</v>
      </c>
      <c r="BF157" t="e">
        <f t="shared" ca="1" si="24"/>
        <v>#VALUE!</v>
      </c>
    </row>
    <row r="158" spans="57:58" ht="12" customHeight="1">
      <c r="BE158" s="19">
        <f t="shared" si="25"/>
        <v>0.10694444444444419</v>
      </c>
      <c r="BF158" t="e">
        <f t="shared" ca="1" si="24"/>
        <v>#VALUE!</v>
      </c>
    </row>
    <row r="159" spans="57:58" ht="12" customHeight="1">
      <c r="BE159" s="19">
        <f t="shared" si="25"/>
        <v>0.10763888888888863</v>
      </c>
      <c r="BF159" t="e">
        <f t="shared" ca="1" si="24"/>
        <v>#VALUE!</v>
      </c>
    </row>
    <row r="160" spans="57:58" ht="12" customHeight="1">
      <c r="BE160" s="19">
        <f t="shared" si="25"/>
        <v>0.10833333333333307</v>
      </c>
      <c r="BF160" t="e">
        <f t="shared" ca="1" si="24"/>
        <v>#VALUE!</v>
      </c>
    </row>
    <row r="161" spans="57:58" ht="12" customHeight="1">
      <c r="BE161" s="19">
        <f t="shared" si="25"/>
        <v>0.10902777777777752</v>
      </c>
      <c r="BF161" t="e">
        <f t="shared" ca="1" si="24"/>
        <v>#VALUE!</v>
      </c>
    </row>
    <row r="162" spans="57:58" ht="12" customHeight="1">
      <c r="BE162" s="19">
        <f t="shared" si="25"/>
        <v>0.10972222222222196</v>
      </c>
      <c r="BF162" t="e">
        <f t="shared" ca="1" si="24"/>
        <v>#VALUE!</v>
      </c>
    </row>
    <row r="163" spans="57:58" ht="12" customHeight="1">
      <c r="BE163" s="19">
        <f t="shared" si="25"/>
        <v>0.1104166666666664</v>
      </c>
      <c r="BF163" t="e">
        <f t="shared" ca="1" si="24"/>
        <v>#VALUE!</v>
      </c>
    </row>
    <row r="164" spans="57:58" ht="12" customHeight="1">
      <c r="BE164" s="19">
        <f t="shared" si="25"/>
        <v>0.11111111111111084</v>
      </c>
      <c r="BF164" t="e">
        <f t="shared" ca="1" si="24"/>
        <v>#VALUE!</v>
      </c>
    </row>
    <row r="165" spans="57:58" ht="12" customHeight="1">
      <c r="BE165" s="19">
        <f t="shared" si="25"/>
        <v>0.11180555555555528</v>
      </c>
      <c r="BF165" t="e">
        <f t="shared" ca="1" si="24"/>
        <v>#VALUE!</v>
      </c>
    </row>
    <row r="166" spans="57:58" ht="12" customHeight="1">
      <c r="BE166" s="19">
        <f t="shared" si="25"/>
        <v>0.11249999999999973</v>
      </c>
      <c r="BF166" t="e">
        <f t="shared" ca="1" si="24"/>
        <v>#VALUE!</v>
      </c>
    </row>
    <row r="167" spans="57:58" ht="12" customHeight="1">
      <c r="BE167" s="19">
        <f t="shared" si="25"/>
        <v>0.11319444444444417</v>
      </c>
      <c r="BF167" t="e">
        <f t="shared" ca="1" si="24"/>
        <v>#VALUE!</v>
      </c>
    </row>
    <row r="168" spans="57:58" ht="12" customHeight="1">
      <c r="BE168" s="19">
        <f t="shared" si="25"/>
        <v>0.11388888888888861</v>
      </c>
      <c r="BF168" t="e">
        <f t="shared" ca="1" si="24"/>
        <v>#VALUE!</v>
      </c>
    </row>
    <row r="169" spans="57:58" ht="12" customHeight="1">
      <c r="BE169" s="19">
        <f t="shared" si="25"/>
        <v>0.11458333333333305</v>
      </c>
      <c r="BF169" t="e">
        <f t="shared" ca="1" si="24"/>
        <v>#VALUE!</v>
      </c>
    </row>
    <row r="170" spans="57:58" ht="12" customHeight="1">
      <c r="BE170" s="19">
        <f t="shared" si="25"/>
        <v>0.11527777777777749</v>
      </c>
      <c r="BF170" t="e">
        <f t="shared" ca="1" si="24"/>
        <v>#VALUE!</v>
      </c>
    </row>
    <row r="171" spans="57:58" ht="12" customHeight="1">
      <c r="BE171" s="19">
        <f t="shared" si="25"/>
        <v>0.11597222222222194</v>
      </c>
      <c r="BF171" t="e">
        <f t="shared" ca="1" si="24"/>
        <v>#VALUE!</v>
      </c>
    </row>
    <row r="172" spans="57:58" ht="12" customHeight="1">
      <c r="BE172" s="19">
        <f t="shared" si="25"/>
        <v>0.11666666666666638</v>
      </c>
      <c r="BF172" t="e">
        <f t="shared" ca="1" si="24"/>
        <v>#VALUE!</v>
      </c>
    </row>
    <row r="173" spans="57:58" ht="12" customHeight="1">
      <c r="BE173" s="19">
        <f t="shared" si="25"/>
        <v>0.11736111111111082</v>
      </c>
      <c r="BF173" t="e">
        <f t="shared" ca="1" si="24"/>
        <v>#VALUE!</v>
      </c>
    </row>
    <row r="174" spans="57:58" ht="12" customHeight="1">
      <c r="BE174" s="19">
        <f t="shared" si="25"/>
        <v>0.11805555555555526</v>
      </c>
      <c r="BF174" t="e">
        <f t="shared" ca="1" si="24"/>
        <v>#VALUE!</v>
      </c>
    </row>
    <row r="175" spans="57:58" ht="12" customHeight="1">
      <c r="BE175" s="19">
        <f t="shared" si="25"/>
        <v>0.1187499999999997</v>
      </c>
      <c r="BF175" t="e">
        <f t="shared" ca="1" si="24"/>
        <v>#VALUE!</v>
      </c>
    </row>
    <row r="176" spans="57:58" ht="12" customHeight="1">
      <c r="BE176" s="19">
        <f t="shared" si="25"/>
        <v>0.11944444444444414</v>
      </c>
      <c r="BF176" t="e">
        <f t="shared" ca="1" si="24"/>
        <v>#VALUE!</v>
      </c>
    </row>
    <row r="177" spans="57:58" ht="12" customHeight="1">
      <c r="BE177" s="19">
        <f t="shared" si="25"/>
        <v>0.12013888888888859</v>
      </c>
      <c r="BF177" t="e">
        <f t="shared" ca="1" si="24"/>
        <v>#VALUE!</v>
      </c>
    </row>
    <row r="178" spans="57:58" ht="12" customHeight="1">
      <c r="BE178" s="19">
        <f t="shared" si="25"/>
        <v>0.12083333333333303</v>
      </c>
      <c r="BF178" t="e">
        <f t="shared" ca="1" si="24"/>
        <v>#VALUE!</v>
      </c>
    </row>
    <row r="179" spans="57:58" ht="12" customHeight="1">
      <c r="BE179" s="19">
        <f t="shared" si="25"/>
        <v>0.12152777777777747</v>
      </c>
      <c r="BF179" t="e">
        <f t="shared" ca="1" si="24"/>
        <v>#VALUE!</v>
      </c>
    </row>
    <row r="180" spans="57:58" ht="12" customHeight="1">
      <c r="BE180" s="19">
        <f t="shared" si="25"/>
        <v>0.12222222222222191</v>
      </c>
      <c r="BF180" t="e">
        <f t="shared" ca="1" si="24"/>
        <v>#VALUE!</v>
      </c>
    </row>
    <row r="181" spans="57:58" ht="12" customHeight="1">
      <c r="BE181" s="19">
        <f t="shared" si="25"/>
        <v>0.12291666666666635</v>
      </c>
      <c r="BF181" t="e">
        <f t="shared" ca="1" si="24"/>
        <v>#VALUE!</v>
      </c>
    </row>
    <row r="182" spans="57:58" ht="12" customHeight="1">
      <c r="BE182" s="19">
        <f t="shared" si="25"/>
        <v>0.1236111111111108</v>
      </c>
      <c r="BF182" t="e">
        <f t="shared" ca="1" si="24"/>
        <v>#VALUE!</v>
      </c>
    </row>
    <row r="183" spans="57:58" ht="12" customHeight="1">
      <c r="BE183" s="19">
        <f t="shared" si="25"/>
        <v>0.12430555555555524</v>
      </c>
      <c r="BF183" t="e">
        <f t="shared" ca="1" si="24"/>
        <v>#VALUE!</v>
      </c>
    </row>
    <row r="184" spans="57:58" ht="12" customHeight="1">
      <c r="BE184" s="19">
        <f t="shared" si="25"/>
        <v>0.12499999999999968</v>
      </c>
      <c r="BF184" t="e">
        <f t="shared" ca="1" si="24"/>
        <v>#VALUE!</v>
      </c>
    </row>
    <row r="185" spans="57:58" ht="12" customHeight="1">
      <c r="BE185" s="19">
        <f t="shared" si="25"/>
        <v>0.12569444444444414</v>
      </c>
      <c r="BF185" t="e">
        <f t="shared" ca="1" si="24"/>
        <v>#VALUE!</v>
      </c>
    </row>
    <row r="186" spans="57:58" ht="12" customHeight="1">
      <c r="BE186" s="19">
        <f t="shared" si="25"/>
        <v>0.12638888888888858</v>
      </c>
      <c r="BF186" t="e">
        <f t="shared" ca="1" si="24"/>
        <v>#VALUE!</v>
      </c>
    </row>
    <row r="187" spans="57:58" ht="12" customHeight="1">
      <c r="BE187" s="19">
        <f t="shared" si="25"/>
        <v>0.12708333333333302</v>
      </c>
      <c r="BF187" t="e">
        <f t="shared" ca="1" si="24"/>
        <v>#VALUE!</v>
      </c>
    </row>
    <row r="188" spans="57:58" ht="12" customHeight="1">
      <c r="BE188" s="19">
        <f t="shared" si="25"/>
        <v>0.12777777777777746</v>
      </c>
      <c r="BF188" t="e">
        <f t="shared" ca="1" si="24"/>
        <v>#VALUE!</v>
      </c>
    </row>
    <row r="189" spans="57:58" ht="12" customHeight="1">
      <c r="BE189" s="19">
        <f t="shared" si="25"/>
        <v>0.1284722222222219</v>
      </c>
      <c r="BF189" t="e">
        <f t="shared" ca="1" si="24"/>
        <v>#VALUE!</v>
      </c>
    </row>
    <row r="190" spans="57:58" ht="12" customHeight="1">
      <c r="BE190" s="19">
        <f t="shared" si="25"/>
        <v>0.12916666666666635</v>
      </c>
      <c r="BF190" t="e">
        <f t="shared" ca="1" si="24"/>
        <v>#VALUE!</v>
      </c>
    </row>
    <row r="191" spans="57:58" ht="12" customHeight="1">
      <c r="BE191" s="19">
        <f t="shared" si="25"/>
        <v>0.12986111111111079</v>
      </c>
      <c r="BF191" t="e">
        <f t="shared" ca="1" si="24"/>
        <v>#VALUE!</v>
      </c>
    </row>
    <row r="192" spans="57:58" ht="12" customHeight="1">
      <c r="BE192" s="19">
        <f t="shared" si="25"/>
        <v>0.13055555555555523</v>
      </c>
      <c r="BF192" t="e">
        <f t="shared" ca="1" si="24"/>
        <v>#VALUE!</v>
      </c>
    </row>
    <row r="193" spans="57:58" ht="12" customHeight="1">
      <c r="BE193" s="19">
        <f t="shared" si="25"/>
        <v>0.13124999999999967</v>
      </c>
      <c r="BF193" t="e">
        <f t="shared" ca="1" si="24"/>
        <v>#VALUE!</v>
      </c>
    </row>
    <row r="194" spans="57:58" ht="12" customHeight="1">
      <c r="BE194" s="19">
        <f t="shared" si="25"/>
        <v>0.13194444444444411</v>
      </c>
      <c r="BF194" t="e">
        <f t="shared" ca="1" si="24"/>
        <v>#VALUE!</v>
      </c>
    </row>
    <row r="195" spans="57:58" ht="12" customHeight="1">
      <c r="BE195" s="19">
        <f t="shared" si="25"/>
        <v>0.13263888888888856</v>
      </c>
      <c r="BF195" t="e">
        <f t="shared" ca="1" si="24"/>
        <v>#VALUE!</v>
      </c>
    </row>
    <row r="196" spans="57:58" ht="12" customHeight="1">
      <c r="BE196" s="19">
        <f t="shared" si="25"/>
        <v>0.133333333333333</v>
      </c>
      <c r="BF196" t="e">
        <f t="shared" ca="1" si="24"/>
        <v>#VALUE!</v>
      </c>
    </row>
    <row r="197" spans="57:58" ht="12" customHeight="1">
      <c r="BE197" s="19">
        <f t="shared" si="25"/>
        <v>0.13402777777777744</v>
      </c>
      <c r="BF197" t="e">
        <f t="shared" ref="BF197:BF260" ca="1" si="26">IF(BE197&lt;$B$5-1/1440,0,OFFSET($N$4,(BE197-$B$4)*1440,0,1,1))</f>
        <v>#VALUE!</v>
      </c>
    </row>
    <row r="198" spans="57:58" ht="12" customHeight="1">
      <c r="BE198" s="19">
        <f t="shared" ref="BE198:BE261" si="27">BE197+1/1440</f>
        <v>0.13472222222222188</v>
      </c>
      <c r="BF198" t="e">
        <f t="shared" ca="1" si="26"/>
        <v>#VALUE!</v>
      </c>
    </row>
    <row r="199" spans="57:58" ht="12" customHeight="1">
      <c r="BE199" s="19">
        <f t="shared" si="27"/>
        <v>0.13541666666666632</v>
      </c>
      <c r="BF199" t="e">
        <f t="shared" ca="1" si="26"/>
        <v>#VALUE!</v>
      </c>
    </row>
    <row r="200" spans="57:58" ht="12" customHeight="1">
      <c r="BE200" s="19">
        <f t="shared" si="27"/>
        <v>0.13611111111111077</v>
      </c>
      <c r="BF200" t="e">
        <f t="shared" ca="1" si="26"/>
        <v>#VALUE!</v>
      </c>
    </row>
    <row r="201" spans="57:58" ht="12" customHeight="1">
      <c r="BE201" s="19">
        <f t="shared" si="27"/>
        <v>0.13680555555555521</v>
      </c>
      <c r="BF201" t="e">
        <f t="shared" ca="1" si="26"/>
        <v>#VALUE!</v>
      </c>
    </row>
    <row r="202" spans="57:58" ht="12" customHeight="1">
      <c r="BE202" s="19">
        <f t="shared" si="27"/>
        <v>0.13749999999999965</v>
      </c>
      <c r="BF202" t="e">
        <f t="shared" ca="1" si="26"/>
        <v>#VALUE!</v>
      </c>
    </row>
    <row r="203" spans="57:58" ht="12" customHeight="1">
      <c r="BE203" s="19">
        <f t="shared" si="27"/>
        <v>0.13819444444444409</v>
      </c>
      <c r="BF203" t="e">
        <f t="shared" ca="1" si="26"/>
        <v>#VALUE!</v>
      </c>
    </row>
    <row r="204" spans="57:58" ht="12" customHeight="1">
      <c r="BE204" s="19">
        <f t="shared" si="27"/>
        <v>0.13888888888888853</v>
      </c>
      <c r="BF204" t="e">
        <f t="shared" ca="1" si="26"/>
        <v>#VALUE!</v>
      </c>
    </row>
    <row r="205" spans="57:58" ht="12" customHeight="1">
      <c r="BE205" s="19">
        <f t="shared" si="27"/>
        <v>0.13958333333333298</v>
      </c>
      <c r="BF205" t="e">
        <f t="shared" ca="1" si="26"/>
        <v>#VALUE!</v>
      </c>
    </row>
    <row r="206" spans="57:58" ht="12" customHeight="1">
      <c r="BE206" s="19">
        <f t="shared" si="27"/>
        <v>0.14027777777777742</v>
      </c>
      <c r="BF206" t="e">
        <f t="shared" ca="1" si="26"/>
        <v>#VALUE!</v>
      </c>
    </row>
    <row r="207" spans="57:58" ht="12" customHeight="1">
      <c r="BE207" s="19">
        <f t="shared" si="27"/>
        <v>0.14097222222222186</v>
      </c>
      <c r="BF207" t="e">
        <f t="shared" ca="1" si="26"/>
        <v>#VALUE!</v>
      </c>
    </row>
    <row r="208" spans="57:58" ht="12" customHeight="1">
      <c r="BE208" s="19">
        <f t="shared" si="27"/>
        <v>0.1416666666666663</v>
      </c>
      <c r="BF208" t="e">
        <f t="shared" ca="1" si="26"/>
        <v>#VALUE!</v>
      </c>
    </row>
    <row r="209" spans="57:58" ht="12" customHeight="1">
      <c r="BE209" s="19">
        <f t="shared" si="27"/>
        <v>0.14236111111111074</v>
      </c>
      <c r="BF209" t="e">
        <f t="shared" ca="1" si="26"/>
        <v>#VALUE!</v>
      </c>
    </row>
    <row r="210" spans="57:58" ht="12" customHeight="1">
      <c r="BE210" s="19">
        <f t="shared" si="27"/>
        <v>0.14305555555555519</v>
      </c>
      <c r="BF210" t="e">
        <f t="shared" ca="1" si="26"/>
        <v>#VALUE!</v>
      </c>
    </row>
    <row r="211" spans="57:58" ht="12" customHeight="1">
      <c r="BE211" s="19">
        <f t="shared" si="27"/>
        <v>0.14374999999999963</v>
      </c>
      <c r="BF211" t="e">
        <f t="shared" ca="1" si="26"/>
        <v>#VALUE!</v>
      </c>
    </row>
    <row r="212" spans="57:58" ht="12" customHeight="1">
      <c r="BE212" s="19">
        <f t="shared" si="27"/>
        <v>0.14444444444444407</v>
      </c>
      <c r="BF212" t="e">
        <f t="shared" ca="1" si="26"/>
        <v>#VALUE!</v>
      </c>
    </row>
    <row r="213" spans="57:58" ht="12" customHeight="1">
      <c r="BE213" s="19">
        <f t="shared" si="27"/>
        <v>0.14513888888888851</v>
      </c>
      <c r="BF213" t="e">
        <f t="shared" ca="1" si="26"/>
        <v>#VALUE!</v>
      </c>
    </row>
    <row r="214" spans="57:58" ht="12" customHeight="1">
      <c r="BE214" s="19">
        <f t="shared" si="27"/>
        <v>0.14583333333333295</v>
      </c>
      <c r="BF214" t="e">
        <f t="shared" ca="1" si="26"/>
        <v>#VALUE!</v>
      </c>
    </row>
    <row r="215" spans="57:58" ht="12" customHeight="1">
      <c r="BE215" s="19">
        <f t="shared" si="27"/>
        <v>0.1465277777777774</v>
      </c>
      <c r="BF215" t="e">
        <f t="shared" ca="1" si="26"/>
        <v>#VALUE!</v>
      </c>
    </row>
    <row r="216" spans="57:58" ht="12" customHeight="1">
      <c r="BE216" s="19">
        <f t="shared" si="27"/>
        <v>0.14722222222222184</v>
      </c>
      <c r="BF216" t="e">
        <f t="shared" ca="1" si="26"/>
        <v>#VALUE!</v>
      </c>
    </row>
    <row r="217" spans="57:58" ht="12" customHeight="1">
      <c r="BE217" s="19">
        <f t="shared" si="27"/>
        <v>0.14791666666666628</v>
      </c>
      <c r="BF217" t="e">
        <f t="shared" ca="1" si="26"/>
        <v>#VALUE!</v>
      </c>
    </row>
    <row r="218" spans="57:58" ht="12" customHeight="1">
      <c r="BE218" s="19">
        <f t="shared" si="27"/>
        <v>0.14861111111111072</v>
      </c>
      <c r="BF218" t="e">
        <f t="shared" ca="1" si="26"/>
        <v>#VALUE!</v>
      </c>
    </row>
    <row r="219" spans="57:58" ht="12" customHeight="1">
      <c r="BE219" s="19">
        <f t="shared" si="27"/>
        <v>0.14930555555555516</v>
      </c>
      <c r="BF219" t="e">
        <f t="shared" ca="1" si="26"/>
        <v>#VALUE!</v>
      </c>
    </row>
    <row r="220" spans="57:58" ht="12" customHeight="1">
      <c r="BE220" s="19">
        <f t="shared" si="27"/>
        <v>0.14999999999999961</v>
      </c>
      <c r="BF220" t="e">
        <f t="shared" ca="1" si="26"/>
        <v>#VALUE!</v>
      </c>
    </row>
    <row r="221" spans="57:58" ht="12" customHeight="1">
      <c r="BE221" s="19">
        <f t="shared" si="27"/>
        <v>0.15069444444444405</v>
      </c>
      <c r="BF221" t="e">
        <f t="shared" ca="1" si="26"/>
        <v>#VALUE!</v>
      </c>
    </row>
    <row r="222" spans="57:58" ht="12" customHeight="1">
      <c r="BE222" s="19">
        <f t="shared" si="27"/>
        <v>0.15138888888888849</v>
      </c>
      <c r="BF222" t="e">
        <f t="shared" ca="1" si="26"/>
        <v>#VALUE!</v>
      </c>
    </row>
    <row r="223" spans="57:58" ht="12" customHeight="1">
      <c r="BE223" s="19">
        <f t="shared" si="27"/>
        <v>0.15208333333333293</v>
      </c>
      <c r="BF223" t="e">
        <f t="shared" ca="1" si="26"/>
        <v>#VALUE!</v>
      </c>
    </row>
    <row r="224" spans="57:58" ht="12" customHeight="1">
      <c r="BE224" s="19">
        <f t="shared" si="27"/>
        <v>0.15277777777777737</v>
      </c>
      <c r="BF224" t="e">
        <f t="shared" ca="1" si="26"/>
        <v>#VALUE!</v>
      </c>
    </row>
    <row r="225" spans="57:58" ht="12" customHeight="1">
      <c r="BE225" s="19">
        <f t="shared" si="27"/>
        <v>0.15347222222222182</v>
      </c>
      <c r="BF225" t="e">
        <f t="shared" ca="1" si="26"/>
        <v>#VALUE!</v>
      </c>
    </row>
    <row r="226" spans="57:58" ht="12" customHeight="1">
      <c r="BE226" s="19">
        <f t="shared" si="27"/>
        <v>0.15416666666666626</v>
      </c>
      <c r="BF226" t="e">
        <f t="shared" ca="1" si="26"/>
        <v>#VALUE!</v>
      </c>
    </row>
    <row r="227" spans="57:58" ht="12" customHeight="1">
      <c r="BE227" s="19">
        <f t="shared" si="27"/>
        <v>0.1548611111111107</v>
      </c>
      <c r="BF227" t="e">
        <f t="shared" ca="1" si="26"/>
        <v>#VALUE!</v>
      </c>
    </row>
    <row r="228" spans="57:58" ht="12" customHeight="1">
      <c r="BE228" s="19">
        <f t="shared" si="27"/>
        <v>0.15555555555555514</v>
      </c>
      <c r="BF228" t="e">
        <f t="shared" ca="1" si="26"/>
        <v>#VALUE!</v>
      </c>
    </row>
    <row r="229" spans="57:58" ht="12" customHeight="1">
      <c r="BE229" s="19">
        <f t="shared" si="27"/>
        <v>0.15624999999999958</v>
      </c>
      <c r="BF229" t="e">
        <f t="shared" ca="1" si="26"/>
        <v>#VALUE!</v>
      </c>
    </row>
    <row r="230" spans="57:58" ht="12" customHeight="1">
      <c r="BE230" s="19">
        <f t="shared" si="27"/>
        <v>0.15694444444444403</v>
      </c>
      <c r="BF230" t="e">
        <f t="shared" ca="1" si="26"/>
        <v>#VALUE!</v>
      </c>
    </row>
    <row r="231" spans="57:58" ht="12" customHeight="1">
      <c r="BE231" s="19">
        <f t="shared" si="27"/>
        <v>0.15763888888888847</v>
      </c>
      <c r="BF231" t="e">
        <f t="shared" ca="1" si="26"/>
        <v>#VALUE!</v>
      </c>
    </row>
    <row r="232" spans="57:58" ht="12" customHeight="1">
      <c r="BE232" s="19">
        <f t="shared" si="27"/>
        <v>0.15833333333333291</v>
      </c>
      <c r="BF232" t="e">
        <f t="shared" ca="1" si="26"/>
        <v>#VALUE!</v>
      </c>
    </row>
    <row r="233" spans="57:58" ht="12" customHeight="1">
      <c r="BE233" s="19">
        <f t="shared" si="27"/>
        <v>0.15902777777777735</v>
      </c>
      <c r="BF233" t="e">
        <f t="shared" ca="1" si="26"/>
        <v>#VALUE!</v>
      </c>
    </row>
    <row r="234" spans="57:58" ht="12" customHeight="1">
      <c r="BE234" s="19">
        <f t="shared" si="27"/>
        <v>0.15972222222222179</v>
      </c>
      <c r="BF234" t="e">
        <f t="shared" ca="1" si="26"/>
        <v>#VALUE!</v>
      </c>
    </row>
    <row r="235" spans="57:58" ht="12" customHeight="1">
      <c r="BE235" s="19">
        <f t="shared" si="27"/>
        <v>0.16041666666666624</v>
      </c>
      <c r="BF235" t="e">
        <f t="shared" ca="1" si="26"/>
        <v>#VALUE!</v>
      </c>
    </row>
    <row r="236" spans="57:58" ht="12" customHeight="1">
      <c r="BE236" s="19">
        <f t="shared" si="27"/>
        <v>0.16111111111111068</v>
      </c>
      <c r="BF236" t="e">
        <f t="shared" ca="1" si="26"/>
        <v>#VALUE!</v>
      </c>
    </row>
    <row r="237" spans="57:58" ht="12" customHeight="1">
      <c r="BE237" s="19">
        <f t="shared" si="27"/>
        <v>0.16180555555555512</v>
      </c>
      <c r="BF237" t="e">
        <f t="shared" ca="1" si="26"/>
        <v>#VALUE!</v>
      </c>
    </row>
    <row r="238" spans="57:58" ht="12" customHeight="1">
      <c r="BE238" s="19">
        <f t="shared" si="27"/>
        <v>0.16249999999999956</v>
      </c>
      <c r="BF238" t="e">
        <f t="shared" ca="1" si="26"/>
        <v>#VALUE!</v>
      </c>
    </row>
    <row r="239" spans="57:58" ht="12" customHeight="1">
      <c r="BE239" s="19">
        <f t="shared" si="27"/>
        <v>0.163194444444444</v>
      </c>
      <c r="BF239" t="e">
        <f t="shared" ca="1" si="26"/>
        <v>#VALUE!</v>
      </c>
    </row>
    <row r="240" spans="57:58" ht="12" customHeight="1">
      <c r="BE240" s="19">
        <f t="shared" si="27"/>
        <v>0.16388888888888845</v>
      </c>
      <c r="BF240" t="e">
        <f t="shared" ca="1" si="26"/>
        <v>#VALUE!</v>
      </c>
    </row>
    <row r="241" spans="57:58" ht="12" customHeight="1">
      <c r="BE241" s="19">
        <f t="shared" si="27"/>
        <v>0.16458333333333289</v>
      </c>
      <c r="BF241" t="e">
        <f t="shared" ca="1" si="26"/>
        <v>#VALUE!</v>
      </c>
    </row>
    <row r="242" spans="57:58" ht="12" customHeight="1">
      <c r="BE242" s="19">
        <f t="shared" si="27"/>
        <v>0.16527777777777733</v>
      </c>
      <c r="BF242" t="e">
        <f t="shared" ca="1" si="26"/>
        <v>#VALUE!</v>
      </c>
    </row>
    <row r="243" spans="57:58" ht="12" customHeight="1">
      <c r="BE243" s="19">
        <f t="shared" si="27"/>
        <v>0.16597222222222177</v>
      </c>
      <c r="BF243" t="e">
        <f t="shared" ca="1" si="26"/>
        <v>#VALUE!</v>
      </c>
    </row>
    <row r="244" spans="57:58" ht="12" customHeight="1">
      <c r="BE244" s="19">
        <f t="shared" si="27"/>
        <v>0.16666666666666621</v>
      </c>
      <c r="BF244" t="e">
        <f t="shared" ca="1" si="26"/>
        <v>#VALUE!</v>
      </c>
    </row>
    <row r="245" spans="57:58" ht="12" customHeight="1">
      <c r="BE245" s="19">
        <f t="shared" si="27"/>
        <v>0.16736111111111066</v>
      </c>
      <c r="BF245" t="e">
        <f t="shared" ca="1" si="26"/>
        <v>#VALUE!</v>
      </c>
    </row>
    <row r="246" spans="57:58" ht="12" customHeight="1">
      <c r="BE246" s="19">
        <f t="shared" si="27"/>
        <v>0.1680555555555551</v>
      </c>
      <c r="BF246" t="e">
        <f t="shared" ca="1" si="26"/>
        <v>#VALUE!</v>
      </c>
    </row>
    <row r="247" spans="57:58" ht="12" customHeight="1">
      <c r="BE247" s="19">
        <f t="shared" si="27"/>
        <v>0.16874999999999954</v>
      </c>
      <c r="BF247" t="e">
        <f t="shared" ca="1" si="26"/>
        <v>#VALUE!</v>
      </c>
    </row>
    <row r="248" spans="57:58" ht="12" customHeight="1">
      <c r="BE248" s="19">
        <f t="shared" si="27"/>
        <v>0.16944444444444398</v>
      </c>
      <c r="BF248" t="e">
        <f t="shared" ca="1" si="26"/>
        <v>#VALUE!</v>
      </c>
    </row>
    <row r="249" spans="57:58" ht="12" customHeight="1">
      <c r="BE249" s="19">
        <f t="shared" si="27"/>
        <v>0.17013888888888842</v>
      </c>
      <c r="BF249" t="e">
        <f t="shared" ca="1" si="26"/>
        <v>#VALUE!</v>
      </c>
    </row>
    <row r="250" spans="57:58" ht="12" customHeight="1">
      <c r="BE250" s="19">
        <f t="shared" si="27"/>
        <v>0.17083333333333287</v>
      </c>
      <c r="BF250" t="e">
        <f t="shared" ca="1" si="26"/>
        <v>#VALUE!</v>
      </c>
    </row>
    <row r="251" spans="57:58" ht="12" customHeight="1">
      <c r="BE251" s="19">
        <f t="shared" si="27"/>
        <v>0.17152777777777731</v>
      </c>
      <c r="BF251" t="e">
        <f t="shared" ca="1" si="26"/>
        <v>#VALUE!</v>
      </c>
    </row>
    <row r="252" spans="57:58" ht="12" customHeight="1">
      <c r="BE252" s="19">
        <f t="shared" si="27"/>
        <v>0.17222222222222175</v>
      </c>
      <c r="BF252" t="e">
        <f t="shared" ca="1" si="26"/>
        <v>#VALUE!</v>
      </c>
    </row>
    <row r="253" spans="57:58" ht="12" customHeight="1">
      <c r="BE253" s="19">
        <f t="shared" si="27"/>
        <v>0.17291666666666619</v>
      </c>
      <c r="BF253" t="e">
        <f t="shared" ca="1" si="26"/>
        <v>#VALUE!</v>
      </c>
    </row>
    <row r="254" spans="57:58" ht="12" customHeight="1">
      <c r="BE254" s="19">
        <f t="shared" si="27"/>
        <v>0.17361111111111063</v>
      </c>
      <c r="BF254" t="e">
        <f t="shared" ca="1" si="26"/>
        <v>#VALUE!</v>
      </c>
    </row>
    <row r="255" spans="57:58" ht="12" customHeight="1">
      <c r="BE255" s="19">
        <f t="shared" si="27"/>
        <v>0.17430555555555508</v>
      </c>
      <c r="BF255" t="e">
        <f t="shared" ca="1" si="26"/>
        <v>#VALUE!</v>
      </c>
    </row>
    <row r="256" spans="57:58" ht="12" customHeight="1">
      <c r="BE256" s="19">
        <f t="shared" si="27"/>
        <v>0.17499999999999952</v>
      </c>
      <c r="BF256" t="e">
        <f t="shared" ca="1" si="26"/>
        <v>#VALUE!</v>
      </c>
    </row>
    <row r="257" spans="57:58" ht="12" customHeight="1">
      <c r="BE257" s="19">
        <f t="shared" si="27"/>
        <v>0.17569444444444396</v>
      </c>
      <c r="BF257" t="e">
        <f t="shared" ca="1" si="26"/>
        <v>#VALUE!</v>
      </c>
    </row>
    <row r="258" spans="57:58" ht="12" customHeight="1">
      <c r="BE258" s="19">
        <f t="shared" si="27"/>
        <v>0.1763888888888884</v>
      </c>
      <c r="BF258" t="e">
        <f t="shared" ca="1" si="26"/>
        <v>#VALUE!</v>
      </c>
    </row>
    <row r="259" spans="57:58" ht="12" customHeight="1">
      <c r="BE259" s="19">
        <f t="shared" si="27"/>
        <v>0.17708333333333284</v>
      </c>
      <c r="BF259" t="e">
        <f t="shared" ca="1" si="26"/>
        <v>#VALUE!</v>
      </c>
    </row>
    <row r="260" spans="57:58" ht="12" customHeight="1">
      <c r="BE260" s="19">
        <f t="shared" si="27"/>
        <v>0.17777777777777728</v>
      </c>
      <c r="BF260" t="e">
        <f t="shared" ca="1" si="26"/>
        <v>#VALUE!</v>
      </c>
    </row>
    <row r="261" spans="57:58" ht="12" customHeight="1">
      <c r="BE261" s="19">
        <f t="shared" si="27"/>
        <v>0.17847222222222173</v>
      </c>
      <c r="BF261" t="e">
        <f t="shared" ref="BF261:BF324" ca="1" si="28">IF(BE261&lt;$B$5-1/1440,0,OFFSET($N$4,(BE261-$B$4)*1440,0,1,1))</f>
        <v>#VALUE!</v>
      </c>
    </row>
    <row r="262" spans="57:58" ht="12" customHeight="1">
      <c r="BE262" s="19">
        <f t="shared" ref="BE262:BE325" si="29">BE261+1/1440</f>
        <v>0.17916666666666617</v>
      </c>
      <c r="BF262" t="e">
        <f t="shared" ca="1" si="28"/>
        <v>#VALUE!</v>
      </c>
    </row>
    <row r="263" spans="57:58" ht="12" customHeight="1">
      <c r="BE263" s="19">
        <f t="shared" si="29"/>
        <v>0.17986111111111061</v>
      </c>
      <c r="BF263" t="e">
        <f t="shared" ca="1" si="28"/>
        <v>#VALUE!</v>
      </c>
    </row>
    <row r="264" spans="57:58" ht="12" customHeight="1">
      <c r="BE264" s="19">
        <f t="shared" si="29"/>
        <v>0.18055555555555505</v>
      </c>
      <c r="BF264" t="e">
        <f t="shared" ca="1" si="28"/>
        <v>#VALUE!</v>
      </c>
    </row>
    <row r="265" spans="57:58" ht="12" customHeight="1">
      <c r="BE265" s="19">
        <f t="shared" si="29"/>
        <v>0.18124999999999949</v>
      </c>
      <c r="BF265" t="e">
        <f t="shared" ca="1" si="28"/>
        <v>#VALUE!</v>
      </c>
    </row>
    <row r="266" spans="57:58" ht="12" customHeight="1">
      <c r="BE266" s="19">
        <f t="shared" si="29"/>
        <v>0.18194444444444394</v>
      </c>
      <c r="BF266" t="e">
        <f t="shared" ca="1" si="28"/>
        <v>#VALUE!</v>
      </c>
    </row>
    <row r="267" spans="57:58" ht="12" customHeight="1">
      <c r="BE267" s="19">
        <f t="shared" si="29"/>
        <v>0.18263888888888838</v>
      </c>
      <c r="BF267" t="e">
        <f t="shared" ca="1" si="28"/>
        <v>#VALUE!</v>
      </c>
    </row>
    <row r="268" spans="57:58" ht="12" customHeight="1">
      <c r="BE268" s="19">
        <f t="shared" si="29"/>
        <v>0.18333333333333282</v>
      </c>
      <c r="BF268" t="e">
        <f t="shared" ca="1" si="28"/>
        <v>#VALUE!</v>
      </c>
    </row>
    <row r="269" spans="57:58" ht="12" customHeight="1">
      <c r="BE269" s="19">
        <f t="shared" si="29"/>
        <v>0.18402777777777726</v>
      </c>
      <c r="BF269" t="e">
        <f t="shared" ca="1" si="28"/>
        <v>#VALUE!</v>
      </c>
    </row>
    <row r="270" spans="57:58" ht="12" customHeight="1">
      <c r="BE270" s="19">
        <f t="shared" si="29"/>
        <v>0.1847222222222217</v>
      </c>
      <c r="BF270" t="e">
        <f t="shared" ca="1" si="28"/>
        <v>#VALUE!</v>
      </c>
    </row>
    <row r="271" spans="57:58" ht="12" customHeight="1">
      <c r="BE271" s="19">
        <f t="shared" si="29"/>
        <v>0.18541666666666615</v>
      </c>
      <c r="BF271" t="e">
        <f t="shared" ca="1" si="28"/>
        <v>#VALUE!</v>
      </c>
    </row>
    <row r="272" spans="57:58" ht="12" customHeight="1">
      <c r="BE272" s="19">
        <f t="shared" si="29"/>
        <v>0.18611111111111059</v>
      </c>
      <c r="BF272" t="e">
        <f t="shared" ca="1" si="28"/>
        <v>#VALUE!</v>
      </c>
    </row>
    <row r="273" spans="57:58" ht="12" customHeight="1">
      <c r="BE273" s="19">
        <f t="shared" si="29"/>
        <v>0.18680555555555503</v>
      </c>
      <c r="BF273" t="e">
        <f t="shared" ca="1" si="28"/>
        <v>#VALUE!</v>
      </c>
    </row>
    <row r="274" spans="57:58" ht="12" customHeight="1">
      <c r="BE274" s="19">
        <f t="shared" si="29"/>
        <v>0.18749999999999947</v>
      </c>
      <c r="BF274" t="e">
        <f t="shared" ca="1" si="28"/>
        <v>#VALUE!</v>
      </c>
    </row>
    <row r="275" spans="57:58" ht="12" customHeight="1">
      <c r="BE275" s="19">
        <f t="shared" si="29"/>
        <v>0.18819444444444391</v>
      </c>
      <c r="BF275" t="e">
        <f t="shared" ca="1" si="28"/>
        <v>#VALUE!</v>
      </c>
    </row>
    <row r="276" spans="57:58" ht="12" customHeight="1">
      <c r="BE276" s="19">
        <f t="shared" si="29"/>
        <v>0.18888888888888836</v>
      </c>
      <c r="BF276" t="e">
        <f t="shared" ca="1" si="28"/>
        <v>#VALUE!</v>
      </c>
    </row>
    <row r="277" spans="57:58" ht="12" customHeight="1">
      <c r="BE277" s="19">
        <f t="shared" si="29"/>
        <v>0.1895833333333328</v>
      </c>
      <c r="BF277" t="e">
        <f t="shared" ca="1" si="28"/>
        <v>#VALUE!</v>
      </c>
    </row>
    <row r="278" spans="57:58" ht="12" customHeight="1">
      <c r="BE278" s="19">
        <f t="shared" si="29"/>
        <v>0.19027777777777724</v>
      </c>
      <c r="BF278" t="e">
        <f t="shared" ca="1" si="28"/>
        <v>#VALUE!</v>
      </c>
    </row>
    <row r="279" spans="57:58" ht="12" customHeight="1">
      <c r="BE279" s="19">
        <f t="shared" si="29"/>
        <v>0.19097222222222168</v>
      </c>
      <c r="BF279" t="e">
        <f t="shared" ca="1" si="28"/>
        <v>#VALUE!</v>
      </c>
    </row>
    <row r="280" spans="57:58" ht="12" customHeight="1">
      <c r="BE280" s="19">
        <f t="shared" si="29"/>
        <v>0.19166666666666612</v>
      </c>
      <c r="BF280" t="e">
        <f t="shared" ca="1" si="28"/>
        <v>#VALUE!</v>
      </c>
    </row>
    <row r="281" spans="57:58" ht="12" customHeight="1">
      <c r="BE281" s="19">
        <f t="shared" si="29"/>
        <v>0.19236111111111057</v>
      </c>
      <c r="BF281" t="e">
        <f t="shared" ca="1" si="28"/>
        <v>#VALUE!</v>
      </c>
    </row>
    <row r="282" spans="57:58" ht="12" customHeight="1">
      <c r="BE282" s="19">
        <f t="shared" si="29"/>
        <v>0.19305555555555501</v>
      </c>
      <c r="BF282" t="e">
        <f t="shared" ca="1" si="28"/>
        <v>#VALUE!</v>
      </c>
    </row>
    <row r="283" spans="57:58" ht="12" customHeight="1">
      <c r="BE283" s="19">
        <f t="shared" si="29"/>
        <v>0.19374999999999945</v>
      </c>
      <c r="BF283" t="e">
        <f t="shared" ca="1" si="28"/>
        <v>#VALUE!</v>
      </c>
    </row>
    <row r="284" spans="57:58" ht="12" customHeight="1">
      <c r="BE284" s="19">
        <f t="shared" si="29"/>
        <v>0.19444444444444389</v>
      </c>
      <c r="BF284" t="e">
        <f t="shared" ca="1" si="28"/>
        <v>#VALUE!</v>
      </c>
    </row>
    <row r="285" spans="57:58" ht="12" customHeight="1">
      <c r="BE285" s="19">
        <f t="shared" si="29"/>
        <v>0.19513888888888833</v>
      </c>
      <c r="BF285" t="e">
        <f t="shared" ca="1" si="28"/>
        <v>#VALUE!</v>
      </c>
    </row>
    <row r="286" spans="57:58" ht="12" customHeight="1">
      <c r="BE286" s="19">
        <f t="shared" si="29"/>
        <v>0.19583333333333278</v>
      </c>
      <c r="BF286" t="e">
        <f t="shared" ca="1" si="28"/>
        <v>#VALUE!</v>
      </c>
    </row>
    <row r="287" spans="57:58" ht="12" customHeight="1">
      <c r="BE287" s="19">
        <f t="shared" si="29"/>
        <v>0.19652777777777722</v>
      </c>
      <c r="BF287" t="e">
        <f t="shared" ca="1" si="28"/>
        <v>#VALUE!</v>
      </c>
    </row>
    <row r="288" spans="57:58" ht="12" customHeight="1">
      <c r="BE288" s="19">
        <f t="shared" si="29"/>
        <v>0.19722222222222166</v>
      </c>
      <c r="BF288" t="e">
        <f t="shared" ca="1" si="28"/>
        <v>#VALUE!</v>
      </c>
    </row>
    <row r="289" spans="57:58" ht="12" customHeight="1">
      <c r="BE289" s="19">
        <f t="shared" si="29"/>
        <v>0.1979166666666661</v>
      </c>
      <c r="BF289" t="e">
        <f t="shared" ca="1" si="28"/>
        <v>#VALUE!</v>
      </c>
    </row>
    <row r="290" spans="57:58" ht="12" customHeight="1">
      <c r="BE290" s="19">
        <f t="shared" si="29"/>
        <v>0.19861111111111054</v>
      </c>
      <c r="BF290" t="e">
        <f t="shared" ca="1" si="28"/>
        <v>#VALUE!</v>
      </c>
    </row>
    <row r="291" spans="57:58" ht="12" customHeight="1">
      <c r="BE291" s="19">
        <f t="shared" si="29"/>
        <v>0.19930555555555499</v>
      </c>
      <c r="BF291" t="e">
        <f t="shared" ca="1" si="28"/>
        <v>#VALUE!</v>
      </c>
    </row>
    <row r="292" spans="57:58" ht="12" customHeight="1">
      <c r="BE292" s="19">
        <f t="shared" si="29"/>
        <v>0.19999999999999943</v>
      </c>
      <c r="BF292" t="e">
        <f t="shared" ca="1" si="28"/>
        <v>#VALUE!</v>
      </c>
    </row>
    <row r="293" spans="57:58" ht="12" customHeight="1">
      <c r="BE293" s="19">
        <f t="shared" si="29"/>
        <v>0.20069444444444387</v>
      </c>
      <c r="BF293" t="e">
        <f t="shared" ca="1" si="28"/>
        <v>#VALUE!</v>
      </c>
    </row>
    <row r="294" spans="57:58" ht="12" customHeight="1">
      <c r="BE294" s="19">
        <f t="shared" si="29"/>
        <v>0.20138888888888831</v>
      </c>
      <c r="BF294" t="e">
        <f t="shared" ca="1" si="28"/>
        <v>#VALUE!</v>
      </c>
    </row>
    <row r="295" spans="57:58" ht="12" customHeight="1">
      <c r="BE295" s="19">
        <f t="shared" si="29"/>
        <v>0.20208333333333275</v>
      </c>
      <c r="BF295" t="e">
        <f t="shared" ca="1" si="28"/>
        <v>#VALUE!</v>
      </c>
    </row>
    <row r="296" spans="57:58" ht="12" customHeight="1">
      <c r="BE296" s="19">
        <f t="shared" si="29"/>
        <v>0.2027777777777772</v>
      </c>
      <c r="BF296" t="e">
        <f t="shared" ca="1" si="28"/>
        <v>#VALUE!</v>
      </c>
    </row>
    <row r="297" spans="57:58" ht="12" customHeight="1">
      <c r="BE297" s="19">
        <f t="shared" si="29"/>
        <v>0.20347222222222164</v>
      </c>
      <c r="BF297" t="e">
        <f t="shared" ca="1" si="28"/>
        <v>#VALUE!</v>
      </c>
    </row>
    <row r="298" spans="57:58" ht="12" customHeight="1">
      <c r="BE298" s="19">
        <f t="shared" si="29"/>
        <v>0.20416666666666608</v>
      </c>
      <c r="BF298" t="e">
        <f t="shared" ca="1" si="28"/>
        <v>#VALUE!</v>
      </c>
    </row>
    <row r="299" spans="57:58" ht="12" customHeight="1">
      <c r="BE299" s="19">
        <f t="shared" si="29"/>
        <v>0.20486111111111052</v>
      </c>
      <c r="BF299" t="e">
        <f t="shared" ca="1" si="28"/>
        <v>#VALUE!</v>
      </c>
    </row>
    <row r="300" spans="57:58" ht="12" customHeight="1">
      <c r="BE300" s="19">
        <f t="shared" si="29"/>
        <v>0.20555555555555496</v>
      </c>
      <c r="BF300" t="e">
        <f t="shared" ca="1" si="28"/>
        <v>#VALUE!</v>
      </c>
    </row>
    <row r="301" spans="57:58" ht="12" customHeight="1">
      <c r="BE301" s="19">
        <f t="shared" si="29"/>
        <v>0.20624999999999941</v>
      </c>
      <c r="BF301" t="e">
        <f t="shared" ca="1" si="28"/>
        <v>#VALUE!</v>
      </c>
    </row>
    <row r="302" spans="57:58" ht="12" customHeight="1">
      <c r="BE302" s="19">
        <f t="shared" si="29"/>
        <v>0.20694444444444385</v>
      </c>
      <c r="BF302" t="e">
        <f t="shared" ca="1" si="28"/>
        <v>#VALUE!</v>
      </c>
    </row>
    <row r="303" spans="57:58" ht="12" customHeight="1">
      <c r="BE303" s="19">
        <f t="shared" si="29"/>
        <v>0.20763888888888829</v>
      </c>
      <c r="BF303" t="e">
        <f t="shared" ca="1" si="28"/>
        <v>#VALUE!</v>
      </c>
    </row>
    <row r="304" spans="57:58" ht="12" customHeight="1">
      <c r="BE304" s="19">
        <f t="shared" si="29"/>
        <v>0.20833333333333273</v>
      </c>
      <c r="BF304" t="e">
        <f t="shared" ca="1" si="28"/>
        <v>#VALUE!</v>
      </c>
    </row>
    <row r="305" spans="57:58" ht="12" customHeight="1">
      <c r="BE305" s="19">
        <f t="shared" si="29"/>
        <v>0.20902777777777717</v>
      </c>
      <c r="BF305" t="e">
        <f t="shared" ca="1" si="28"/>
        <v>#VALUE!</v>
      </c>
    </row>
    <row r="306" spans="57:58" ht="12" customHeight="1">
      <c r="BE306" s="19">
        <f t="shared" si="29"/>
        <v>0.20972222222222162</v>
      </c>
      <c r="BF306" t="e">
        <f t="shared" ca="1" si="28"/>
        <v>#VALUE!</v>
      </c>
    </row>
    <row r="307" spans="57:58" ht="12" customHeight="1">
      <c r="BE307" s="19">
        <f t="shared" si="29"/>
        <v>0.21041666666666606</v>
      </c>
      <c r="BF307" t="e">
        <f t="shared" ca="1" si="28"/>
        <v>#VALUE!</v>
      </c>
    </row>
    <row r="308" spans="57:58" ht="12" customHeight="1">
      <c r="BE308" s="19">
        <f t="shared" si="29"/>
        <v>0.2111111111111105</v>
      </c>
      <c r="BF308" t="e">
        <f t="shared" ca="1" si="28"/>
        <v>#VALUE!</v>
      </c>
    </row>
    <row r="309" spans="57:58" ht="12" customHeight="1">
      <c r="BE309" s="19">
        <f t="shared" si="29"/>
        <v>0.21180555555555494</v>
      </c>
      <c r="BF309" t="e">
        <f t="shared" ca="1" si="28"/>
        <v>#VALUE!</v>
      </c>
    </row>
    <row r="310" spans="57:58" ht="12" customHeight="1">
      <c r="BE310" s="19">
        <f t="shared" si="29"/>
        <v>0.21249999999999938</v>
      </c>
      <c r="BF310" t="e">
        <f t="shared" ca="1" si="28"/>
        <v>#VALUE!</v>
      </c>
    </row>
    <row r="311" spans="57:58" ht="12" customHeight="1">
      <c r="BE311" s="19">
        <f t="shared" si="29"/>
        <v>0.21319444444444383</v>
      </c>
      <c r="BF311" t="e">
        <f t="shared" ca="1" si="28"/>
        <v>#VALUE!</v>
      </c>
    </row>
    <row r="312" spans="57:58" ht="12" customHeight="1">
      <c r="BE312" s="19">
        <f t="shared" si="29"/>
        <v>0.21388888888888827</v>
      </c>
      <c r="BF312" t="e">
        <f t="shared" ca="1" si="28"/>
        <v>#VALUE!</v>
      </c>
    </row>
    <row r="313" spans="57:58" ht="12" customHeight="1">
      <c r="BE313" s="19">
        <f t="shared" si="29"/>
        <v>0.21458333333333271</v>
      </c>
      <c r="BF313" t="e">
        <f t="shared" ca="1" si="28"/>
        <v>#VALUE!</v>
      </c>
    </row>
    <row r="314" spans="57:58" ht="12" customHeight="1">
      <c r="BE314" s="19">
        <f t="shared" si="29"/>
        <v>0.21527777777777715</v>
      </c>
      <c r="BF314" t="e">
        <f t="shared" ca="1" si="28"/>
        <v>#VALUE!</v>
      </c>
    </row>
    <row r="315" spans="57:58" ht="12" customHeight="1">
      <c r="BE315" s="19">
        <f t="shared" si="29"/>
        <v>0.21597222222222159</v>
      </c>
      <c r="BF315" t="e">
        <f t="shared" ca="1" si="28"/>
        <v>#VALUE!</v>
      </c>
    </row>
    <row r="316" spans="57:58" ht="12" customHeight="1">
      <c r="BE316" s="19">
        <f t="shared" si="29"/>
        <v>0.21666666666666604</v>
      </c>
      <c r="BF316" t="e">
        <f t="shared" ca="1" si="28"/>
        <v>#VALUE!</v>
      </c>
    </row>
    <row r="317" spans="57:58" ht="12" customHeight="1">
      <c r="BE317" s="19">
        <f t="shared" si="29"/>
        <v>0.21736111111111048</v>
      </c>
      <c r="BF317" t="e">
        <f t="shared" ca="1" si="28"/>
        <v>#VALUE!</v>
      </c>
    </row>
    <row r="318" spans="57:58" ht="12" customHeight="1">
      <c r="BE318" s="19">
        <f t="shared" si="29"/>
        <v>0.21805555555555492</v>
      </c>
      <c r="BF318" t="e">
        <f t="shared" ca="1" si="28"/>
        <v>#VALUE!</v>
      </c>
    </row>
    <row r="319" spans="57:58" ht="12" customHeight="1">
      <c r="BE319" s="19">
        <f t="shared" si="29"/>
        <v>0.21874999999999936</v>
      </c>
      <c r="BF319" t="e">
        <f t="shared" ca="1" si="28"/>
        <v>#VALUE!</v>
      </c>
    </row>
    <row r="320" spans="57:58" ht="12" customHeight="1">
      <c r="BE320" s="19">
        <f t="shared" si="29"/>
        <v>0.2194444444444438</v>
      </c>
      <c r="BF320" t="e">
        <f t="shared" ca="1" si="28"/>
        <v>#VALUE!</v>
      </c>
    </row>
    <row r="321" spans="57:58" ht="12" customHeight="1">
      <c r="BE321" s="19">
        <f t="shared" si="29"/>
        <v>0.22013888888888825</v>
      </c>
      <c r="BF321" t="e">
        <f t="shared" ca="1" si="28"/>
        <v>#VALUE!</v>
      </c>
    </row>
    <row r="322" spans="57:58" ht="12" customHeight="1">
      <c r="BE322" s="19">
        <f t="shared" si="29"/>
        <v>0.22083333333333269</v>
      </c>
      <c r="BF322" t="e">
        <f t="shared" ca="1" si="28"/>
        <v>#VALUE!</v>
      </c>
    </row>
    <row r="323" spans="57:58" ht="12" customHeight="1">
      <c r="BE323" s="19">
        <f t="shared" si="29"/>
        <v>0.22152777777777713</v>
      </c>
      <c r="BF323" t="e">
        <f t="shared" ca="1" si="28"/>
        <v>#VALUE!</v>
      </c>
    </row>
    <row r="324" spans="57:58" ht="12" customHeight="1">
      <c r="BE324" s="19">
        <f t="shared" si="29"/>
        <v>0.22222222222222157</v>
      </c>
      <c r="BF324" t="e">
        <f t="shared" ca="1" si="28"/>
        <v>#VALUE!</v>
      </c>
    </row>
    <row r="325" spans="57:58" ht="12" customHeight="1">
      <c r="BE325" s="19">
        <f t="shared" si="29"/>
        <v>0.22291666666666601</v>
      </c>
      <c r="BF325" t="e">
        <f t="shared" ref="BF325:BF388" ca="1" si="30">IF(BE325&lt;$B$5-1/1440,0,OFFSET($N$4,(BE325-$B$4)*1440,0,1,1))</f>
        <v>#VALUE!</v>
      </c>
    </row>
    <row r="326" spans="57:58" ht="12" customHeight="1">
      <c r="BE326" s="19">
        <f t="shared" ref="BE326:BE389" si="31">BE325+1/1440</f>
        <v>0.22361111111111046</v>
      </c>
      <c r="BF326" t="e">
        <f t="shared" ca="1" si="30"/>
        <v>#VALUE!</v>
      </c>
    </row>
    <row r="327" spans="57:58" ht="12" customHeight="1">
      <c r="BE327" s="19">
        <f t="shared" si="31"/>
        <v>0.2243055555555549</v>
      </c>
      <c r="BF327" t="e">
        <f t="shared" ca="1" si="30"/>
        <v>#VALUE!</v>
      </c>
    </row>
    <row r="328" spans="57:58" ht="12" customHeight="1">
      <c r="BE328" s="19">
        <f t="shared" si="31"/>
        <v>0.22499999999999934</v>
      </c>
      <c r="BF328" t="e">
        <f t="shared" ca="1" si="30"/>
        <v>#VALUE!</v>
      </c>
    </row>
    <row r="329" spans="57:58" ht="12" customHeight="1">
      <c r="BE329" s="19">
        <f t="shared" si="31"/>
        <v>0.22569444444444378</v>
      </c>
      <c r="BF329" t="e">
        <f t="shared" ca="1" si="30"/>
        <v>#VALUE!</v>
      </c>
    </row>
    <row r="330" spans="57:58" ht="12" customHeight="1">
      <c r="BE330" s="19">
        <f t="shared" si="31"/>
        <v>0.22638888888888822</v>
      </c>
      <c r="BF330" t="e">
        <f t="shared" ca="1" si="30"/>
        <v>#VALUE!</v>
      </c>
    </row>
    <row r="331" spans="57:58" ht="12" customHeight="1">
      <c r="BE331" s="19">
        <f t="shared" si="31"/>
        <v>0.22708333333333267</v>
      </c>
      <c r="BF331" t="e">
        <f t="shared" ca="1" si="30"/>
        <v>#VALUE!</v>
      </c>
    </row>
    <row r="332" spans="57:58" ht="12" customHeight="1">
      <c r="BE332" s="19">
        <f t="shared" si="31"/>
        <v>0.22777777777777711</v>
      </c>
      <c r="BF332" t="e">
        <f t="shared" ca="1" si="30"/>
        <v>#VALUE!</v>
      </c>
    </row>
    <row r="333" spans="57:58" ht="12" customHeight="1">
      <c r="BE333" s="19">
        <f t="shared" si="31"/>
        <v>0.22847222222222155</v>
      </c>
      <c r="BF333" t="e">
        <f t="shared" ca="1" si="30"/>
        <v>#VALUE!</v>
      </c>
    </row>
    <row r="334" spans="57:58" ht="12" customHeight="1">
      <c r="BE334" s="19">
        <f t="shared" si="31"/>
        <v>0.22916666666666599</v>
      </c>
      <c r="BF334" t="e">
        <f t="shared" ca="1" si="30"/>
        <v>#VALUE!</v>
      </c>
    </row>
    <row r="335" spans="57:58" ht="12" customHeight="1">
      <c r="BE335" s="19">
        <f t="shared" si="31"/>
        <v>0.22986111111111043</v>
      </c>
      <c r="BF335" t="e">
        <f t="shared" ca="1" si="30"/>
        <v>#VALUE!</v>
      </c>
    </row>
    <row r="336" spans="57:58" ht="12" customHeight="1">
      <c r="BE336" s="19">
        <f t="shared" si="31"/>
        <v>0.23055555555555488</v>
      </c>
      <c r="BF336" t="e">
        <f t="shared" ca="1" si="30"/>
        <v>#VALUE!</v>
      </c>
    </row>
    <row r="337" spans="57:58" ht="12" customHeight="1">
      <c r="BE337" s="19">
        <f t="shared" si="31"/>
        <v>0.23124999999999932</v>
      </c>
      <c r="BF337" t="e">
        <f t="shared" ca="1" si="30"/>
        <v>#VALUE!</v>
      </c>
    </row>
    <row r="338" spans="57:58" ht="12" customHeight="1">
      <c r="BE338" s="19">
        <f t="shared" si="31"/>
        <v>0.23194444444444376</v>
      </c>
      <c r="BF338" t="e">
        <f t="shared" ca="1" si="30"/>
        <v>#VALUE!</v>
      </c>
    </row>
    <row r="339" spans="57:58" ht="12" customHeight="1">
      <c r="BE339" s="19">
        <f t="shared" si="31"/>
        <v>0.2326388888888882</v>
      </c>
      <c r="BF339" t="e">
        <f t="shared" ca="1" si="30"/>
        <v>#VALUE!</v>
      </c>
    </row>
    <row r="340" spans="57:58" ht="12" customHeight="1">
      <c r="BE340" s="19">
        <f t="shared" si="31"/>
        <v>0.23333333333333264</v>
      </c>
      <c r="BF340" t="e">
        <f t="shared" ca="1" si="30"/>
        <v>#VALUE!</v>
      </c>
    </row>
    <row r="341" spans="57:58" ht="12" customHeight="1">
      <c r="BE341" s="19">
        <f t="shared" si="31"/>
        <v>0.23402777777777709</v>
      </c>
      <c r="BF341" t="e">
        <f t="shared" ca="1" si="30"/>
        <v>#VALUE!</v>
      </c>
    </row>
    <row r="342" spans="57:58" ht="12" customHeight="1">
      <c r="BE342" s="19">
        <f t="shared" si="31"/>
        <v>0.23472222222222153</v>
      </c>
      <c r="BF342" t="e">
        <f t="shared" ca="1" si="30"/>
        <v>#VALUE!</v>
      </c>
    </row>
    <row r="343" spans="57:58" ht="12" customHeight="1">
      <c r="BE343" s="19">
        <f t="shared" si="31"/>
        <v>0.23541666666666597</v>
      </c>
      <c r="BF343" t="e">
        <f t="shared" ca="1" si="30"/>
        <v>#VALUE!</v>
      </c>
    </row>
    <row r="344" spans="57:58" ht="12" customHeight="1">
      <c r="BE344" s="19">
        <f t="shared" si="31"/>
        <v>0.23611111111111041</v>
      </c>
      <c r="BF344" t="e">
        <f t="shared" ca="1" si="30"/>
        <v>#VALUE!</v>
      </c>
    </row>
    <row r="345" spans="57:58" ht="12" customHeight="1">
      <c r="BE345" s="19">
        <f t="shared" si="31"/>
        <v>0.23680555555555485</v>
      </c>
      <c r="BF345" t="e">
        <f t="shared" ca="1" si="30"/>
        <v>#VALUE!</v>
      </c>
    </row>
    <row r="346" spans="57:58" ht="12" customHeight="1">
      <c r="BE346" s="19">
        <f t="shared" si="31"/>
        <v>0.2374999999999993</v>
      </c>
      <c r="BF346" t="e">
        <f t="shared" ca="1" si="30"/>
        <v>#VALUE!</v>
      </c>
    </row>
    <row r="347" spans="57:58" ht="12" customHeight="1">
      <c r="BE347" s="19">
        <f t="shared" si="31"/>
        <v>0.23819444444444374</v>
      </c>
      <c r="BF347" t="e">
        <f t="shared" ca="1" si="30"/>
        <v>#VALUE!</v>
      </c>
    </row>
    <row r="348" spans="57:58" ht="12" customHeight="1">
      <c r="BE348" s="19">
        <f t="shared" si="31"/>
        <v>0.23888888888888818</v>
      </c>
      <c r="BF348" t="e">
        <f t="shared" ca="1" si="30"/>
        <v>#VALUE!</v>
      </c>
    </row>
    <row r="349" spans="57:58" ht="12" customHeight="1">
      <c r="BE349" s="19">
        <f t="shared" si="31"/>
        <v>0.23958333333333262</v>
      </c>
      <c r="BF349" t="e">
        <f t="shared" ca="1" si="30"/>
        <v>#VALUE!</v>
      </c>
    </row>
    <row r="350" spans="57:58" ht="12" customHeight="1">
      <c r="BE350" s="19">
        <f t="shared" si="31"/>
        <v>0.24027777777777706</v>
      </c>
      <c r="BF350" t="e">
        <f t="shared" ca="1" si="30"/>
        <v>#VALUE!</v>
      </c>
    </row>
    <row r="351" spans="57:58" ht="12" customHeight="1">
      <c r="BE351" s="19">
        <f t="shared" si="31"/>
        <v>0.2409722222222215</v>
      </c>
      <c r="BF351" t="e">
        <f t="shared" ca="1" si="30"/>
        <v>#VALUE!</v>
      </c>
    </row>
    <row r="352" spans="57:58" ht="12" customHeight="1">
      <c r="BE352" s="19">
        <f t="shared" si="31"/>
        <v>0.24166666666666595</v>
      </c>
      <c r="BF352" t="e">
        <f t="shared" ca="1" si="30"/>
        <v>#VALUE!</v>
      </c>
    </row>
    <row r="353" spans="57:58" ht="12" customHeight="1">
      <c r="BE353" s="19">
        <f t="shared" si="31"/>
        <v>0.24236111111111039</v>
      </c>
      <c r="BF353" t="e">
        <f t="shared" ca="1" si="30"/>
        <v>#VALUE!</v>
      </c>
    </row>
    <row r="354" spans="57:58" ht="12" customHeight="1">
      <c r="BE354" s="19">
        <f t="shared" si="31"/>
        <v>0.24305555555555483</v>
      </c>
      <c r="BF354" t="e">
        <f t="shared" ca="1" si="30"/>
        <v>#VALUE!</v>
      </c>
    </row>
    <row r="355" spans="57:58" ht="12" customHeight="1">
      <c r="BE355" s="19">
        <f t="shared" si="31"/>
        <v>0.24374999999999927</v>
      </c>
      <c r="BF355" t="e">
        <f t="shared" ca="1" si="30"/>
        <v>#VALUE!</v>
      </c>
    </row>
    <row r="356" spans="57:58" ht="12" customHeight="1">
      <c r="BE356" s="19">
        <f t="shared" si="31"/>
        <v>0.24444444444444371</v>
      </c>
      <c r="BF356" t="e">
        <f t="shared" ca="1" si="30"/>
        <v>#VALUE!</v>
      </c>
    </row>
    <row r="357" spans="57:58" ht="12" customHeight="1">
      <c r="BE357" s="19">
        <f t="shared" si="31"/>
        <v>0.24513888888888816</v>
      </c>
      <c r="BF357" t="e">
        <f t="shared" ca="1" si="30"/>
        <v>#VALUE!</v>
      </c>
    </row>
    <row r="358" spans="57:58" ht="12" customHeight="1">
      <c r="BE358" s="19">
        <f t="shared" si="31"/>
        <v>0.2458333333333326</v>
      </c>
      <c r="BF358" t="e">
        <f t="shared" ca="1" si="30"/>
        <v>#VALUE!</v>
      </c>
    </row>
    <row r="359" spans="57:58" ht="12" customHeight="1">
      <c r="BE359" s="19">
        <f t="shared" si="31"/>
        <v>0.24652777777777704</v>
      </c>
      <c r="BF359" t="e">
        <f t="shared" ca="1" si="30"/>
        <v>#VALUE!</v>
      </c>
    </row>
    <row r="360" spans="57:58" ht="12" customHeight="1">
      <c r="BE360" s="19">
        <f t="shared" si="31"/>
        <v>0.24722222222222148</v>
      </c>
      <c r="BF360" t="e">
        <f t="shared" ca="1" si="30"/>
        <v>#VALUE!</v>
      </c>
    </row>
    <row r="361" spans="57:58" ht="12" customHeight="1">
      <c r="BE361" s="19">
        <f t="shared" si="31"/>
        <v>0.24791666666666592</v>
      </c>
      <c r="BF361" t="e">
        <f t="shared" ca="1" si="30"/>
        <v>#VALUE!</v>
      </c>
    </row>
    <row r="362" spans="57:58" ht="12" customHeight="1">
      <c r="BE362" s="19">
        <f t="shared" si="31"/>
        <v>0.24861111111111037</v>
      </c>
      <c r="BF362" t="e">
        <f t="shared" ca="1" si="30"/>
        <v>#VALUE!</v>
      </c>
    </row>
    <row r="363" spans="57:58" ht="12" customHeight="1">
      <c r="BE363" s="19">
        <f t="shared" si="31"/>
        <v>0.24930555555555481</v>
      </c>
      <c r="BF363" t="e">
        <f t="shared" ca="1" si="30"/>
        <v>#VALUE!</v>
      </c>
    </row>
    <row r="364" spans="57:58" ht="12" customHeight="1">
      <c r="BE364" s="19">
        <f t="shared" si="31"/>
        <v>0.24999999999999925</v>
      </c>
      <c r="BF364" t="e">
        <f t="shared" ca="1" si="30"/>
        <v>#VALUE!</v>
      </c>
    </row>
    <row r="365" spans="57:58" ht="12" customHeight="1">
      <c r="BE365" s="19">
        <f t="shared" si="31"/>
        <v>0.25069444444444372</v>
      </c>
      <c r="BF365" t="e">
        <f t="shared" ca="1" si="30"/>
        <v>#VALUE!</v>
      </c>
    </row>
    <row r="366" spans="57:58" ht="12" customHeight="1">
      <c r="BE366" s="19">
        <f t="shared" si="31"/>
        <v>0.25138888888888816</v>
      </c>
      <c r="BF366" t="e">
        <f t="shared" ca="1" si="30"/>
        <v>#VALUE!</v>
      </c>
    </row>
    <row r="367" spans="57:58" ht="12" customHeight="1">
      <c r="BE367" s="19">
        <f t="shared" si="31"/>
        <v>0.2520833333333326</v>
      </c>
      <c r="BF367" t="e">
        <f t="shared" ca="1" si="30"/>
        <v>#VALUE!</v>
      </c>
    </row>
    <row r="368" spans="57:58" ht="12" customHeight="1">
      <c r="BE368" s="19">
        <f t="shared" si="31"/>
        <v>0.25277777777777705</v>
      </c>
      <c r="BF368" t="e">
        <f t="shared" ca="1" si="30"/>
        <v>#VALUE!</v>
      </c>
    </row>
    <row r="369" spans="57:58" ht="12" customHeight="1">
      <c r="BE369" s="19">
        <f t="shared" si="31"/>
        <v>0.25347222222222149</v>
      </c>
      <c r="BF369" t="e">
        <f t="shared" ca="1" si="30"/>
        <v>#VALUE!</v>
      </c>
    </row>
    <row r="370" spans="57:58" ht="12" customHeight="1">
      <c r="BE370" s="19">
        <f t="shared" si="31"/>
        <v>0.25416666666666593</v>
      </c>
      <c r="BF370" t="e">
        <f t="shared" ca="1" si="30"/>
        <v>#VALUE!</v>
      </c>
    </row>
    <row r="371" spans="57:58" ht="12" customHeight="1">
      <c r="BE371" s="19">
        <f t="shared" si="31"/>
        <v>0.25486111111111037</v>
      </c>
      <c r="BF371" t="e">
        <f t="shared" ca="1" si="30"/>
        <v>#VALUE!</v>
      </c>
    </row>
    <row r="372" spans="57:58" ht="12" customHeight="1">
      <c r="BE372" s="19">
        <f t="shared" si="31"/>
        <v>0.25555555555555481</v>
      </c>
      <c r="BF372" t="e">
        <f t="shared" ca="1" si="30"/>
        <v>#VALUE!</v>
      </c>
    </row>
    <row r="373" spans="57:58" ht="12" customHeight="1">
      <c r="BE373" s="19">
        <f t="shared" si="31"/>
        <v>0.25624999999999926</v>
      </c>
      <c r="BF373" t="e">
        <f t="shared" ca="1" si="30"/>
        <v>#VALUE!</v>
      </c>
    </row>
    <row r="374" spans="57:58" ht="12" customHeight="1">
      <c r="BE374" s="19">
        <f t="shared" si="31"/>
        <v>0.2569444444444437</v>
      </c>
      <c r="BF374" t="e">
        <f t="shared" ca="1" si="30"/>
        <v>#VALUE!</v>
      </c>
    </row>
    <row r="375" spans="57:58" ht="12" customHeight="1">
      <c r="BE375" s="19">
        <f t="shared" si="31"/>
        <v>0.25763888888888814</v>
      </c>
      <c r="BF375" t="e">
        <f t="shared" ca="1" si="30"/>
        <v>#VALUE!</v>
      </c>
    </row>
    <row r="376" spans="57:58" ht="12" customHeight="1">
      <c r="BE376" s="19">
        <f t="shared" si="31"/>
        <v>0.25833333333333258</v>
      </c>
      <c r="BF376" t="e">
        <f t="shared" ca="1" si="30"/>
        <v>#VALUE!</v>
      </c>
    </row>
    <row r="377" spans="57:58" ht="12" customHeight="1">
      <c r="BE377" s="19">
        <f t="shared" si="31"/>
        <v>0.25902777777777702</v>
      </c>
      <c r="BF377" t="e">
        <f t="shared" ca="1" si="30"/>
        <v>#VALUE!</v>
      </c>
    </row>
    <row r="378" spans="57:58" ht="12" customHeight="1">
      <c r="BE378" s="19">
        <f t="shared" si="31"/>
        <v>0.25972222222222147</v>
      </c>
      <c r="BF378" t="e">
        <f t="shared" ca="1" si="30"/>
        <v>#VALUE!</v>
      </c>
    </row>
    <row r="379" spans="57:58" ht="12" customHeight="1">
      <c r="BE379" s="19">
        <f t="shared" si="31"/>
        <v>0.26041666666666591</v>
      </c>
      <c r="BF379" t="e">
        <f t="shared" ca="1" si="30"/>
        <v>#VALUE!</v>
      </c>
    </row>
    <row r="380" spans="57:58" ht="12" customHeight="1">
      <c r="BE380" s="19">
        <f t="shared" si="31"/>
        <v>0.26111111111111035</v>
      </c>
      <c r="BF380" t="e">
        <f t="shared" ca="1" si="30"/>
        <v>#VALUE!</v>
      </c>
    </row>
    <row r="381" spans="57:58" ht="12" customHeight="1">
      <c r="BE381" s="19">
        <f t="shared" si="31"/>
        <v>0.26180555555555479</v>
      </c>
      <c r="BF381" t="e">
        <f t="shared" ca="1" si="30"/>
        <v>#VALUE!</v>
      </c>
    </row>
    <row r="382" spans="57:58" ht="12" customHeight="1">
      <c r="BE382" s="19">
        <f t="shared" si="31"/>
        <v>0.26249999999999923</v>
      </c>
      <c r="BF382" t="e">
        <f t="shared" ca="1" si="30"/>
        <v>#VALUE!</v>
      </c>
    </row>
    <row r="383" spans="57:58" ht="12" customHeight="1">
      <c r="BE383" s="19">
        <f t="shared" si="31"/>
        <v>0.26319444444444368</v>
      </c>
      <c r="BF383" t="e">
        <f t="shared" ca="1" si="30"/>
        <v>#VALUE!</v>
      </c>
    </row>
    <row r="384" spans="57:58" ht="12" customHeight="1">
      <c r="BE384" s="19">
        <f t="shared" si="31"/>
        <v>0.26388888888888812</v>
      </c>
      <c r="BF384" t="e">
        <f t="shared" ca="1" si="30"/>
        <v>#VALUE!</v>
      </c>
    </row>
    <row r="385" spans="57:58" ht="12" customHeight="1">
      <c r="BE385" s="19">
        <f t="shared" si="31"/>
        <v>0.26458333333333256</v>
      </c>
      <c r="BF385" t="e">
        <f t="shared" ca="1" si="30"/>
        <v>#VALUE!</v>
      </c>
    </row>
    <row r="386" spans="57:58" ht="12" customHeight="1">
      <c r="BE386" s="19">
        <f t="shared" si="31"/>
        <v>0.265277777777777</v>
      </c>
      <c r="BF386" t="e">
        <f t="shared" ca="1" si="30"/>
        <v>#VALUE!</v>
      </c>
    </row>
    <row r="387" spans="57:58" ht="12" customHeight="1">
      <c r="BE387" s="19">
        <f t="shared" si="31"/>
        <v>0.26597222222222144</v>
      </c>
      <c r="BF387" t="e">
        <f t="shared" ca="1" si="30"/>
        <v>#VALUE!</v>
      </c>
    </row>
    <row r="388" spans="57:58" ht="12" customHeight="1">
      <c r="BE388" s="19">
        <f t="shared" si="31"/>
        <v>0.26666666666666589</v>
      </c>
      <c r="BF388" t="e">
        <f t="shared" ca="1" si="30"/>
        <v>#VALUE!</v>
      </c>
    </row>
    <row r="389" spans="57:58" ht="12" customHeight="1">
      <c r="BE389" s="19">
        <f t="shared" si="31"/>
        <v>0.26736111111111033</v>
      </c>
      <c r="BF389" t="e">
        <f t="shared" ref="BF389:BF452" ca="1" si="32">IF(BE389&lt;$B$5-1/1440,0,OFFSET($N$4,(BE389-$B$4)*1440,0,1,1))</f>
        <v>#VALUE!</v>
      </c>
    </row>
    <row r="390" spans="57:58" ht="12" customHeight="1">
      <c r="BE390" s="19">
        <f t="shared" ref="BE390:BE453" si="33">BE389+1/1440</f>
        <v>0.26805555555555477</v>
      </c>
      <c r="BF390" t="e">
        <f t="shared" ca="1" si="32"/>
        <v>#VALUE!</v>
      </c>
    </row>
    <row r="391" spans="57:58" ht="12" customHeight="1">
      <c r="BE391" s="19">
        <f t="shared" si="33"/>
        <v>0.26874999999999921</v>
      </c>
      <c r="BF391" t="e">
        <f t="shared" ca="1" si="32"/>
        <v>#VALUE!</v>
      </c>
    </row>
    <row r="392" spans="57:58" ht="12" customHeight="1">
      <c r="BE392" s="19">
        <f t="shared" si="33"/>
        <v>0.26944444444444365</v>
      </c>
      <c r="BF392" t="e">
        <f t="shared" ca="1" si="32"/>
        <v>#VALUE!</v>
      </c>
    </row>
    <row r="393" spans="57:58" ht="12" customHeight="1">
      <c r="BE393" s="19">
        <f t="shared" si="33"/>
        <v>0.2701388888888881</v>
      </c>
      <c r="BF393" t="e">
        <f t="shared" ca="1" si="32"/>
        <v>#VALUE!</v>
      </c>
    </row>
    <row r="394" spans="57:58" ht="12" customHeight="1">
      <c r="BE394" s="19">
        <f t="shared" si="33"/>
        <v>0.27083333333333254</v>
      </c>
      <c r="BF394" t="e">
        <f t="shared" ca="1" si="32"/>
        <v>#VALUE!</v>
      </c>
    </row>
    <row r="395" spans="57:58" ht="12" customHeight="1">
      <c r="BE395" s="19">
        <f t="shared" si="33"/>
        <v>0.27152777777777698</v>
      </c>
      <c r="BF395" t="e">
        <f t="shared" ca="1" si="32"/>
        <v>#VALUE!</v>
      </c>
    </row>
    <row r="396" spans="57:58" ht="12" customHeight="1">
      <c r="BE396" s="19">
        <f t="shared" si="33"/>
        <v>0.27222222222222142</v>
      </c>
      <c r="BF396" t="e">
        <f t="shared" ca="1" si="32"/>
        <v>#VALUE!</v>
      </c>
    </row>
    <row r="397" spans="57:58" ht="12" customHeight="1">
      <c r="BE397" s="19">
        <f t="shared" si="33"/>
        <v>0.27291666666666586</v>
      </c>
      <c r="BF397" t="e">
        <f t="shared" ca="1" si="32"/>
        <v>#VALUE!</v>
      </c>
    </row>
    <row r="398" spans="57:58" ht="12" customHeight="1">
      <c r="BE398" s="19">
        <f t="shared" si="33"/>
        <v>0.27361111111111031</v>
      </c>
      <c r="BF398" t="e">
        <f t="shared" ca="1" si="32"/>
        <v>#VALUE!</v>
      </c>
    </row>
    <row r="399" spans="57:58" ht="12" customHeight="1">
      <c r="BE399" s="19">
        <f t="shared" si="33"/>
        <v>0.27430555555555475</v>
      </c>
      <c r="BF399" t="e">
        <f t="shared" ca="1" si="32"/>
        <v>#VALUE!</v>
      </c>
    </row>
    <row r="400" spans="57:58" ht="12" customHeight="1">
      <c r="BE400" s="19">
        <f t="shared" si="33"/>
        <v>0.27499999999999919</v>
      </c>
      <c r="BF400" t="e">
        <f t="shared" ca="1" si="32"/>
        <v>#VALUE!</v>
      </c>
    </row>
    <row r="401" spans="57:58" ht="12" customHeight="1">
      <c r="BE401" s="19">
        <f t="shared" si="33"/>
        <v>0.27569444444444363</v>
      </c>
      <c r="BF401" t="e">
        <f t="shared" ca="1" si="32"/>
        <v>#VALUE!</v>
      </c>
    </row>
    <row r="402" spans="57:58" ht="12" customHeight="1">
      <c r="BE402" s="19">
        <f t="shared" si="33"/>
        <v>0.27638888888888807</v>
      </c>
      <c r="BF402" t="e">
        <f t="shared" ca="1" si="32"/>
        <v>#VALUE!</v>
      </c>
    </row>
    <row r="403" spans="57:58" ht="12" customHeight="1">
      <c r="BE403" s="19">
        <f t="shared" si="33"/>
        <v>0.27708333333333252</v>
      </c>
      <c r="BF403" t="e">
        <f t="shared" ca="1" si="32"/>
        <v>#VALUE!</v>
      </c>
    </row>
    <row r="404" spans="57:58" ht="12" customHeight="1">
      <c r="BE404" s="19">
        <f t="shared" si="33"/>
        <v>0.27777777777777696</v>
      </c>
      <c r="BF404" t="e">
        <f t="shared" ca="1" si="32"/>
        <v>#VALUE!</v>
      </c>
    </row>
    <row r="405" spans="57:58" ht="12" customHeight="1">
      <c r="BE405" s="19">
        <f t="shared" si="33"/>
        <v>0.2784722222222214</v>
      </c>
      <c r="BF405" t="e">
        <f t="shared" ca="1" si="32"/>
        <v>#VALUE!</v>
      </c>
    </row>
    <row r="406" spans="57:58" ht="12" customHeight="1">
      <c r="BE406" s="19">
        <f t="shared" si="33"/>
        <v>0.27916666666666584</v>
      </c>
      <c r="BF406" t="e">
        <f t="shared" ca="1" si="32"/>
        <v>#VALUE!</v>
      </c>
    </row>
    <row r="407" spans="57:58" ht="12" customHeight="1">
      <c r="BE407" s="19">
        <f t="shared" si="33"/>
        <v>0.27986111111111028</v>
      </c>
      <c r="BF407" t="e">
        <f t="shared" ca="1" si="32"/>
        <v>#VALUE!</v>
      </c>
    </row>
    <row r="408" spans="57:58" ht="12" customHeight="1">
      <c r="BE408" s="19">
        <f t="shared" si="33"/>
        <v>0.28055555555555473</v>
      </c>
      <c r="BF408" t="e">
        <f t="shared" ca="1" si="32"/>
        <v>#VALUE!</v>
      </c>
    </row>
    <row r="409" spans="57:58" ht="12" customHeight="1">
      <c r="BE409" s="19">
        <f t="shared" si="33"/>
        <v>0.28124999999999917</v>
      </c>
      <c r="BF409" t="e">
        <f t="shared" ca="1" si="32"/>
        <v>#VALUE!</v>
      </c>
    </row>
    <row r="410" spans="57:58" ht="12" customHeight="1">
      <c r="BE410" s="19">
        <f t="shared" si="33"/>
        <v>0.28194444444444361</v>
      </c>
      <c r="BF410" t="e">
        <f t="shared" ca="1" si="32"/>
        <v>#VALUE!</v>
      </c>
    </row>
    <row r="411" spans="57:58" ht="12" customHeight="1">
      <c r="BE411" s="19">
        <f t="shared" si="33"/>
        <v>0.28263888888888805</v>
      </c>
      <c r="BF411" t="e">
        <f t="shared" ca="1" si="32"/>
        <v>#VALUE!</v>
      </c>
    </row>
    <row r="412" spans="57:58" ht="12" customHeight="1">
      <c r="BE412" s="19">
        <f t="shared" si="33"/>
        <v>0.28333333333333249</v>
      </c>
      <c r="BF412" t="e">
        <f t="shared" ca="1" si="32"/>
        <v>#VALUE!</v>
      </c>
    </row>
    <row r="413" spans="57:58" ht="12" customHeight="1">
      <c r="BE413" s="19">
        <f t="shared" si="33"/>
        <v>0.28402777777777694</v>
      </c>
      <c r="BF413" t="e">
        <f t="shared" ca="1" si="32"/>
        <v>#VALUE!</v>
      </c>
    </row>
    <row r="414" spans="57:58" ht="12" customHeight="1">
      <c r="BE414" s="19">
        <f t="shared" si="33"/>
        <v>0.28472222222222138</v>
      </c>
      <c r="BF414" t="e">
        <f t="shared" ca="1" si="32"/>
        <v>#VALUE!</v>
      </c>
    </row>
    <row r="415" spans="57:58" ht="12" customHeight="1">
      <c r="BE415" s="19">
        <f t="shared" si="33"/>
        <v>0.28541666666666582</v>
      </c>
      <c r="BF415" t="e">
        <f t="shared" ca="1" si="32"/>
        <v>#VALUE!</v>
      </c>
    </row>
    <row r="416" spans="57:58" ht="12" customHeight="1">
      <c r="BE416" s="19">
        <f t="shared" si="33"/>
        <v>0.28611111111111026</v>
      </c>
      <c r="BF416" t="e">
        <f t="shared" ca="1" si="32"/>
        <v>#VALUE!</v>
      </c>
    </row>
    <row r="417" spans="57:58" ht="12" customHeight="1">
      <c r="BE417" s="19">
        <f t="shared" si="33"/>
        <v>0.2868055555555547</v>
      </c>
      <c r="BF417" t="e">
        <f t="shared" ca="1" si="32"/>
        <v>#VALUE!</v>
      </c>
    </row>
    <row r="418" spans="57:58" ht="12" customHeight="1">
      <c r="BE418" s="19">
        <f t="shared" si="33"/>
        <v>0.28749999999999915</v>
      </c>
      <c r="BF418" t="e">
        <f t="shared" ca="1" si="32"/>
        <v>#VALUE!</v>
      </c>
    </row>
    <row r="419" spans="57:58" ht="12" customHeight="1">
      <c r="BE419" s="19">
        <f t="shared" si="33"/>
        <v>0.28819444444444359</v>
      </c>
      <c r="BF419" t="e">
        <f t="shared" ca="1" si="32"/>
        <v>#VALUE!</v>
      </c>
    </row>
    <row r="420" spans="57:58" ht="12" customHeight="1">
      <c r="BE420" s="19">
        <f t="shared" si="33"/>
        <v>0.28888888888888803</v>
      </c>
      <c r="BF420" t="e">
        <f t="shared" ca="1" si="32"/>
        <v>#VALUE!</v>
      </c>
    </row>
    <row r="421" spans="57:58" ht="12" customHeight="1">
      <c r="BE421" s="19">
        <f t="shared" si="33"/>
        <v>0.28958333333333247</v>
      </c>
      <c r="BF421" t="e">
        <f t="shared" ca="1" si="32"/>
        <v>#VALUE!</v>
      </c>
    </row>
    <row r="422" spans="57:58" ht="12" customHeight="1">
      <c r="BE422" s="19">
        <f t="shared" si="33"/>
        <v>0.29027777777777691</v>
      </c>
      <c r="BF422" t="e">
        <f t="shared" ca="1" si="32"/>
        <v>#VALUE!</v>
      </c>
    </row>
    <row r="423" spans="57:58" ht="12" customHeight="1">
      <c r="BE423" s="19">
        <f t="shared" si="33"/>
        <v>0.29097222222222136</v>
      </c>
      <c r="BF423" t="e">
        <f t="shared" ca="1" si="32"/>
        <v>#VALUE!</v>
      </c>
    </row>
    <row r="424" spans="57:58" ht="12" customHeight="1">
      <c r="BE424" s="19">
        <f t="shared" si="33"/>
        <v>0.2916666666666658</v>
      </c>
      <c r="BF424" t="e">
        <f t="shared" ca="1" si="32"/>
        <v>#VALUE!</v>
      </c>
    </row>
    <row r="425" spans="57:58" ht="12" customHeight="1">
      <c r="BE425" s="19">
        <f t="shared" si="33"/>
        <v>0.29236111111111024</v>
      </c>
      <c r="BF425" t="e">
        <f t="shared" ca="1" si="32"/>
        <v>#VALUE!</v>
      </c>
    </row>
    <row r="426" spans="57:58" ht="12" customHeight="1">
      <c r="BE426" s="19">
        <f t="shared" si="33"/>
        <v>0.29305555555555468</v>
      </c>
      <c r="BF426" t="e">
        <f t="shared" ca="1" si="32"/>
        <v>#VALUE!</v>
      </c>
    </row>
    <row r="427" spans="57:58" ht="12" customHeight="1">
      <c r="BE427" s="19">
        <f t="shared" si="33"/>
        <v>0.29374999999999912</v>
      </c>
      <c r="BF427" t="e">
        <f t="shared" ca="1" si="32"/>
        <v>#VALUE!</v>
      </c>
    </row>
    <row r="428" spans="57:58" ht="12" customHeight="1">
      <c r="BE428" s="19">
        <f t="shared" si="33"/>
        <v>0.29444444444444356</v>
      </c>
      <c r="BF428" t="e">
        <f t="shared" ca="1" si="32"/>
        <v>#VALUE!</v>
      </c>
    </row>
    <row r="429" spans="57:58" ht="12" customHeight="1">
      <c r="BE429" s="19">
        <f t="shared" si="33"/>
        <v>0.29513888888888801</v>
      </c>
      <c r="BF429" t="e">
        <f t="shared" ca="1" si="32"/>
        <v>#VALUE!</v>
      </c>
    </row>
    <row r="430" spans="57:58" ht="12" customHeight="1">
      <c r="BE430" s="19">
        <f t="shared" si="33"/>
        <v>0.29583333333333245</v>
      </c>
      <c r="BF430" t="e">
        <f t="shared" ca="1" si="32"/>
        <v>#VALUE!</v>
      </c>
    </row>
    <row r="431" spans="57:58" ht="12" customHeight="1">
      <c r="BE431" s="19">
        <f t="shared" si="33"/>
        <v>0.29652777777777689</v>
      </c>
      <c r="BF431" t="e">
        <f t="shared" ca="1" si="32"/>
        <v>#VALUE!</v>
      </c>
    </row>
    <row r="432" spans="57:58" ht="12" customHeight="1">
      <c r="BE432" s="19">
        <f t="shared" si="33"/>
        <v>0.29722222222222133</v>
      </c>
      <c r="BF432" t="e">
        <f t="shared" ca="1" si="32"/>
        <v>#VALUE!</v>
      </c>
    </row>
    <row r="433" spans="57:58" ht="12" customHeight="1">
      <c r="BE433" s="19">
        <f t="shared" si="33"/>
        <v>0.29791666666666577</v>
      </c>
      <c r="BF433" t="e">
        <f t="shared" ca="1" si="32"/>
        <v>#VALUE!</v>
      </c>
    </row>
    <row r="434" spans="57:58" ht="12" customHeight="1">
      <c r="BE434" s="19">
        <f t="shared" si="33"/>
        <v>0.29861111111111022</v>
      </c>
      <c r="BF434" t="e">
        <f t="shared" ca="1" si="32"/>
        <v>#VALUE!</v>
      </c>
    </row>
    <row r="435" spans="57:58" ht="12" customHeight="1">
      <c r="BE435" s="19">
        <f t="shared" si="33"/>
        <v>0.29930555555555466</v>
      </c>
      <c r="BF435" t="e">
        <f t="shared" ca="1" si="32"/>
        <v>#VALUE!</v>
      </c>
    </row>
    <row r="436" spans="57:58" ht="12" customHeight="1">
      <c r="BE436" s="19">
        <f t="shared" si="33"/>
        <v>0.2999999999999991</v>
      </c>
      <c r="BF436" t="e">
        <f t="shared" ca="1" si="32"/>
        <v>#VALUE!</v>
      </c>
    </row>
    <row r="437" spans="57:58" ht="12" customHeight="1">
      <c r="BE437" s="19">
        <f t="shared" si="33"/>
        <v>0.30069444444444354</v>
      </c>
      <c r="BF437" t="e">
        <f t="shared" ca="1" si="32"/>
        <v>#VALUE!</v>
      </c>
    </row>
    <row r="438" spans="57:58" ht="12" customHeight="1">
      <c r="BE438" s="19">
        <f t="shared" si="33"/>
        <v>0.30138888888888798</v>
      </c>
      <c r="BF438" t="e">
        <f t="shared" ca="1" si="32"/>
        <v>#VALUE!</v>
      </c>
    </row>
    <row r="439" spans="57:58" ht="12" customHeight="1">
      <c r="BE439" s="19">
        <f t="shared" si="33"/>
        <v>0.30208333333333243</v>
      </c>
      <c r="BF439" t="e">
        <f t="shared" ca="1" si="32"/>
        <v>#VALUE!</v>
      </c>
    </row>
    <row r="440" spans="57:58" ht="12" customHeight="1">
      <c r="BE440" s="19">
        <f t="shared" si="33"/>
        <v>0.30277777777777687</v>
      </c>
      <c r="BF440" t="e">
        <f t="shared" ca="1" si="32"/>
        <v>#VALUE!</v>
      </c>
    </row>
    <row r="441" spans="57:58" ht="12" customHeight="1">
      <c r="BE441" s="19">
        <f t="shared" si="33"/>
        <v>0.30347222222222131</v>
      </c>
      <c r="BF441" t="e">
        <f t="shared" ca="1" si="32"/>
        <v>#VALUE!</v>
      </c>
    </row>
    <row r="442" spans="57:58" ht="12" customHeight="1">
      <c r="BE442" s="19">
        <f t="shared" si="33"/>
        <v>0.30416666666666575</v>
      </c>
      <c r="BF442" t="e">
        <f t="shared" ca="1" si="32"/>
        <v>#VALUE!</v>
      </c>
    </row>
    <row r="443" spans="57:58" ht="12" customHeight="1">
      <c r="BE443" s="19">
        <f t="shared" si="33"/>
        <v>0.30486111111111019</v>
      </c>
      <c r="BF443" t="e">
        <f t="shared" ca="1" si="32"/>
        <v>#VALUE!</v>
      </c>
    </row>
    <row r="444" spans="57:58" ht="12" customHeight="1">
      <c r="BE444" s="19">
        <f t="shared" si="33"/>
        <v>0.30555555555555464</v>
      </c>
      <c r="BF444" t="e">
        <f t="shared" ca="1" si="32"/>
        <v>#VALUE!</v>
      </c>
    </row>
    <row r="445" spans="57:58" ht="12" customHeight="1">
      <c r="BE445" s="19">
        <f t="shared" si="33"/>
        <v>0.30624999999999908</v>
      </c>
      <c r="BF445" t="e">
        <f t="shared" ca="1" si="32"/>
        <v>#VALUE!</v>
      </c>
    </row>
    <row r="446" spans="57:58" ht="12" customHeight="1">
      <c r="BE446" s="19">
        <f t="shared" si="33"/>
        <v>0.30694444444444352</v>
      </c>
      <c r="BF446" t="e">
        <f t="shared" ca="1" si="32"/>
        <v>#VALUE!</v>
      </c>
    </row>
    <row r="447" spans="57:58" ht="12" customHeight="1">
      <c r="BE447" s="19">
        <f t="shared" si="33"/>
        <v>0.30763888888888796</v>
      </c>
      <c r="BF447" t="e">
        <f t="shared" ca="1" si="32"/>
        <v>#VALUE!</v>
      </c>
    </row>
    <row r="448" spans="57:58" ht="12" customHeight="1">
      <c r="BE448" s="19">
        <f t="shared" si="33"/>
        <v>0.3083333333333324</v>
      </c>
      <c r="BF448" t="e">
        <f t="shared" ca="1" si="32"/>
        <v>#VALUE!</v>
      </c>
    </row>
    <row r="449" spans="57:58" ht="12" customHeight="1">
      <c r="BE449" s="19">
        <f t="shared" si="33"/>
        <v>0.30902777777777685</v>
      </c>
      <c r="BF449" t="e">
        <f t="shared" ca="1" si="32"/>
        <v>#VALUE!</v>
      </c>
    </row>
    <row r="450" spans="57:58" ht="12" customHeight="1">
      <c r="BE450" s="19">
        <f t="shared" si="33"/>
        <v>0.30972222222222129</v>
      </c>
      <c r="BF450" t="e">
        <f t="shared" ca="1" si="32"/>
        <v>#VALUE!</v>
      </c>
    </row>
    <row r="451" spans="57:58" ht="12" customHeight="1">
      <c r="BE451" s="19">
        <f t="shared" si="33"/>
        <v>0.31041666666666573</v>
      </c>
      <c r="BF451" t="e">
        <f t="shared" ca="1" si="32"/>
        <v>#VALUE!</v>
      </c>
    </row>
    <row r="452" spans="57:58" ht="12" customHeight="1">
      <c r="BE452" s="19">
        <f t="shared" si="33"/>
        <v>0.31111111111111017</v>
      </c>
      <c r="BF452" t="e">
        <f t="shared" ca="1" si="32"/>
        <v>#VALUE!</v>
      </c>
    </row>
    <row r="453" spans="57:58" ht="12" customHeight="1">
      <c r="BE453" s="19">
        <f t="shared" si="33"/>
        <v>0.31180555555555461</v>
      </c>
      <c r="BF453" t="e">
        <f t="shared" ref="BF453:BF516" ca="1" si="34">IF(BE453&lt;$B$5-1/1440,0,OFFSET($N$4,(BE453-$B$4)*1440,0,1,1))</f>
        <v>#VALUE!</v>
      </c>
    </row>
    <row r="454" spans="57:58" ht="12" customHeight="1">
      <c r="BE454" s="19">
        <f t="shared" ref="BE454:BE517" si="35">BE453+1/1440</f>
        <v>0.31249999999999906</v>
      </c>
      <c r="BF454" t="e">
        <f t="shared" ca="1" si="34"/>
        <v>#VALUE!</v>
      </c>
    </row>
    <row r="455" spans="57:58" ht="12" customHeight="1">
      <c r="BE455" s="19">
        <f t="shared" si="35"/>
        <v>0.3131944444444435</v>
      </c>
      <c r="BF455" t="e">
        <f t="shared" ca="1" si="34"/>
        <v>#VALUE!</v>
      </c>
    </row>
    <row r="456" spans="57:58" ht="12" customHeight="1">
      <c r="BE456" s="19">
        <f t="shared" si="35"/>
        <v>0.31388888888888794</v>
      </c>
      <c r="BF456" t="e">
        <f t="shared" ca="1" si="34"/>
        <v>#VALUE!</v>
      </c>
    </row>
    <row r="457" spans="57:58" ht="12" customHeight="1">
      <c r="BE457" s="19">
        <f t="shared" si="35"/>
        <v>0.31458333333333238</v>
      </c>
      <c r="BF457" t="e">
        <f t="shared" ca="1" si="34"/>
        <v>#VALUE!</v>
      </c>
    </row>
    <row r="458" spans="57:58" ht="12" customHeight="1">
      <c r="BE458" s="19">
        <f t="shared" si="35"/>
        <v>0.31527777777777682</v>
      </c>
      <c r="BF458" t="e">
        <f t="shared" ca="1" si="34"/>
        <v>#VALUE!</v>
      </c>
    </row>
    <row r="459" spans="57:58" ht="12" customHeight="1">
      <c r="BE459" s="19">
        <f t="shared" si="35"/>
        <v>0.31597222222222127</v>
      </c>
      <c r="BF459" t="e">
        <f t="shared" ca="1" si="34"/>
        <v>#VALUE!</v>
      </c>
    </row>
    <row r="460" spans="57:58" ht="12" customHeight="1">
      <c r="BE460" s="19">
        <f t="shared" si="35"/>
        <v>0.31666666666666571</v>
      </c>
      <c r="BF460" t="e">
        <f t="shared" ca="1" si="34"/>
        <v>#VALUE!</v>
      </c>
    </row>
    <row r="461" spans="57:58" ht="12" customHeight="1">
      <c r="BE461" s="19">
        <f t="shared" si="35"/>
        <v>0.31736111111111015</v>
      </c>
      <c r="BF461" t="e">
        <f t="shared" ca="1" si="34"/>
        <v>#VALUE!</v>
      </c>
    </row>
    <row r="462" spans="57:58" ht="12" customHeight="1">
      <c r="BE462" s="19">
        <f t="shared" si="35"/>
        <v>0.31805555555555459</v>
      </c>
      <c r="BF462" t="e">
        <f t="shared" ca="1" si="34"/>
        <v>#VALUE!</v>
      </c>
    </row>
    <row r="463" spans="57:58" ht="12" customHeight="1">
      <c r="BE463" s="19">
        <f t="shared" si="35"/>
        <v>0.31874999999999903</v>
      </c>
      <c r="BF463" t="e">
        <f t="shared" ca="1" si="34"/>
        <v>#VALUE!</v>
      </c>
    </row>
    <row r="464" spans="57:58" ht="12" customHeight="1">
      <c r="BE464" s="19">
        <f t="shared" si="35"/>
        <v>0.31944444444444348</v>
      </c>
      <c r="BF464" t="e">
        <f t="shared" ca="1" si="34"/>
        <v>#VALUE!</v>
      </c>
    </row>
    <row r="465" spans="57:58" ht="12" customHeight="1">
      <c r="BE465" s="19">
        <f t="shared" si="35"/>
        <v>0.32013888888888792</v>
      </c>
      <c r="BF465" t="e">
        <f t="shared" ca="1" si="34"/>
        <v>#VALUE!</v>
      </c>
    </row>
    <row r="466" spans="57:58" ht="12" customHeight="1">
      <c r="BE466" s="19">
        <f t="shared" si="35"/>
        <v>0.32083333333333236</v>
      </c>
      <c r="BF466" t="e">
        <f t="shared" ca="1" si="34"/>
        <v>#VALUE!</v>
      </c>
    </row>
    <row r="467" spans="57:58" ht="12" customHeight="1">
      <c r="BE467" s="19">
        <f t="shared" si="35"/>
        <v>0.3215277777777768</v>
      </c>
      <c r="BF467" t="e">
        <f t="shared" ca="1" si="34"/>
        <v>#VALUE!</v>
      </c>
    </row>
    <row r="468" spans="57:58" ht="12" customHeight="1">
      <c r="BE468" s="19">
        <f t="shared" si="35"/>
        <v>0.32222222222222124</v>
      </c>
      <c r="BF468" t="e">
        <f t="shared" ca="1" si="34"/>
        <v>#VALUE!</v>
      </c>
    </row>
    <row r="469" spans="57:58" ht="12" customHeight="1">
      <c r="BE469" s="19">
        <f t="shared" si="35"/>
        <v>0.32291666666666569</v>
      </c>
      <c r="BF469" t="e">
        <f t="shared" ca="1" si="34"/>
        <v>#VALUE!</v>
      </c>
    </row>
    <row r="470" spans="57:58" ht="12" customHeight="1">
      <c r="BE470" s="19">
        <f t="shared" si="35"/>
        <v>0.32361111111111013</v>
      </c>
      <c r="BF470" t="e">
        <f t="shared" ca="1" si="34"/>
        <v>#VALUE!</v>
      </c>
    </row>
    <row r="471" spans="57:58" ht="12" customHeight="1">
      <c r="BE471" s="19">
        <f t="shared" si="35"/>
        <v>0.32430555555555457</v>
      </c>
      <c r="BF471" t="e">
        <f t="shared" ca="1" si="34"/>
        <v>#VALUE!</v>
      </c>
    </row>
    <row r="472" spans="57:58" ht="12" customHeight="1">
      <c r="BE472" s="19">
        <f t="shared" si="35"/>
        <v>0.32499999999999901</v>
      </c>
      <c r="BF472" t="e">
        <f t="shared" ca="1" si="34"/>
        <v>#VALUE!</v>
      </c>
    </row>
    <row r="473" spans="57:58" ht="12" customHeight="1">
      <c r="BE473" s="19">
        <f t="shared" si="35"/>
        <v>0.32569444444444345</v>
      </c>
      <c r="BF473" t="e">
        <f t="shared" ca="1" si="34"/>
        <v>#VALUE!</v>
      </c>
    </row>
    <row r="474" spans="57:58" ht="12" customHeight="1">
      <c r="BE474" s="19">
        <f t="shared" si="35"/>
        <v>0.3263888888888879</v>
      </c>
      <c r="BF474" t="e">
        <f t="shared" ca="1" si="34"/>
        <v>#VALUE!</v>
      </c>
    </row>
    <row r="475" spans="57:58" ht="12" customHeight="1">
      <c r="BE475" s="19">
        <f t="shared" si="35"/>
        <v>0.32708333333333234</v>
      </c>
      <c r="BF475" t="e">
        <f t="shared" ca="1" si="34"/>
        <v>#VALUE!</v>
      </c>
    </row>
    <row r="476" spans="57:58" ht="12" customHeight="1">
      <c r="BE476" s="19">
        <f t="shared" si="35"/>
        <v>0.32777777777777678</v>
      </c>
      <c r="BF476" t="e">
        <f t="shared" ca="1" si="34"/>
        <v>#VALUE!</v>
      </c>
    </row>
    <row r="477" spans="57:58" ht="12" customHeight="1">
      <c r="BE477" s="19">
        <f t="shared" si="35"/>
        <v>0.32847222222222122</v>
      </c>
      <c r="BF477" t="e">
        <f t="shared" ca="1" si="34"/>
        <v>#VALUE!</v>
      </c>
    </row>
    <row r="478" spans="57:58" ht="12" customHeight="1">
      <c r="BE478" s="19">
        <f t="shared" si="35"/>
        <v>0.32916666666666566</v>
      </c>
      <c r="BF478" t="e">
        <f t="shared" ca="1" si="34"/>
        <v>#VALUE!</v>
      </c>
    </row>
    <row r="479" spans="57:58" ht="12" customHeight="1">
      <c r="BE479" s="19">
        <f t="shared" si="35"/>
        <v>0.32986111111111011</v>
      </c>
      <c r="BF479" t="e">
        <f t="shared" ca="1" si="34"/>
        <v>#VALUE!</v>
      </c>
    </row>
    <row r="480" spans="57:58" ht="12" customHeight="1">
      <c r="BE480" s="19">
        <f t="shared" si="35"/>
        <v>0.33055555555555455</v>
      </c>
      <c r="BF480" t="e">
        <f t="shared" ca="1" si="34"/>
        <v>#VALUE!</v>
      </c>
    </row>
    <row r="481" spans="57:58" ht="12" customHeight="1">
      <c r="BE481" s="19">
        <f t="shared" si="35"/>
        <v>0.33124999999999899</v>
      </c>
      <c r="BF481" t="e">
        <f t="shared" ca="1" si="34"/>
        <v>#VALUE!</v>
      </c>
    </row>
    <row r="482" spans="57:58" ht="12" customHeight="1">
      <c r="BE482" s="19">
        <f t="shared" si="35"/>
        <v>0.33194444444444343</v>
      </c>
      <c r="BF482" t="e">
        <f t="shared" ca="1" si="34"/>
        <v>#VALUE!</v>
      </c>
    </row>
    <row r="483" spans="57:58" ht="12" customHeight="1">
      <c r="BE483" s="19">
        <f t="shared" si="35"/>
        <v>0.33263888888888787</v>
      </c>
      <c r="BF483" t="e">
        <f t="shared" ca="1" si="34"/>
        <v>#VALUE!</v>
      </c>
    </row>
    <row r="484" spans="57:58" ht="12" customHeight="1">
      <c r="BE484" s="19">
        <f t="shared" si="35"/>
        <v>0.33333333333333232</v>
      </c>
      <c r="BF484" t="e">
        <f t="shared" ca="1" si="34"/>
        <v>#VALUE!</v>
      </c>
    </row>
    <row r="485" spans="57:58" ht="12" customHeight="1">
      <c r="BE485" s="19">
        <f t="shared" si="35"/>
        <v>0.33402777777777676</v>
      </c>
      <c r="BF485" t="e">
        <f t="shared" ca="1" si="34"/>
        <v>#VALUE!</v>
      </c>
    </row>
    <row r="486" spans="57:58" ht="12" customHeight="1">
      <c r="BE486" s="19">
        <f t="shared" si="35"/>
        <v>0.3347222222222212</v>
      </c>
      <c r="BF486" t="e">
        <f t="shared" ca="1" si="34"/>
        <v>#VALUE!</v>
      </c>
    </row>
    <row r="487" spans="57:58" ht="12" customHeight="1">
      <c r="BE487" s="19">
        <f t="shared" si="35"/>
        <v>0.33541666666666564</v>
      </c>
      <c r="BF487" t="e">
        <f t="shared" ca="1" si="34"/>
        <v>#VALUE!</v>
      </c>
    </row>
    <row r="488" spans="57:58" ht="12" customHeight="1">
      <c r="BE488" s="19">
        <f t="shared" si="35"/>
        <v>0.33611111111111008</v>
      </c>
      <c r="BF488" t="e">
        <f t="shared" ca="1" si="34"/>
        <v>#VALUE!</v>
      </c>
    </row>
    <row r="489" spans="57:58" ht="12" customHeight="1">
      <c r="BE489" s="19">
        <f t="shared" si="35"/>
        <v>0.33680555555555453</v>
      </c>
      <c r="BF489" t="e">
        <f t="shared" ca="1" si="34"/>
        <v>#VALUE!</v>
      </c>
    </row>
    <row r="490" spans="57:58" ht="12" customHeight="1">
      <c r="BE490" s="19">
        <f t="shared" si="35"/>
        <v>0.33749999999999897</v>
      </c>
      <c r="BF490" t="e">
        <f t="shared" ca="1" si="34"/>
        <v>#VALUE!</v>
      </c>
    </row>
    <row r="491" spans="57:58" ht="12" customHeight="1">
      <c r="BE491" s="19">
        <f t="shared" si="35"/>
        <v>0.33819444444444341</v>
      </c>
      <c r="BF491" t="e">
        <f t="shared" ca="1" si="34"/>
        <v>#VALUE!</v>
      </c>
    </row>
    <row r="492" spans="57:58" ht="12" customHeight="1">
      <c r="BE492" s="19">
        <f t="shared" si="35"/>
        <v>0.33888888888888785</v>
      </c>
      <c r="BF492" t="e">
        <f t="shared" ca="1" si="34"/>
        <v>#VALUE!</v>
      </c>
    </row>
    <row r="493" spans="57:58" ht="12" customHeight="1">
      <c r="BE493" s="19">
        <f t="shared" si="35"/>
        <v>0.33958333333333229</v>
      </c>
      <c r="BF493" t="e">
        <f t="shared" ca="1" si="34"/>
        <v>#VALUE!</v>
      </c>
    </row>
    <row r="494" spans="57:58" ht="12" customHeight="1">
      <c r="BE494" s="19">
        <f t="shared" si="35"/>
        <v>0.34027777777777674</v>
      </c>
      <c r="BF494" t="e">
        <f t="shared" ca="1" si="34"/>
        <v>#VALUE!</v>
      </c>
    </row>
    <row r="495" spans="57:58" ht="12" customHeight="1">
      <c r="BE495" s="19">
        <f t="shared" si="35"/>
        <v>0.34097222222222118</v>
      </c>
      <c r="BF495" t="e">
        <f t="shared" ca="1" si="34"/>
        <v>#VALUE!</v>
      </c>
    </row>
    <row r="496" spans="57:58" ht="12" customHeight="1">
      <c r="BE496" s="19">
        <f t="shared" si="35"/>
        <v>0.34166666666666562</v>
      </c>
      <c r="BF496" t="e">
        <f t="shared" ca="1" si="34"/>
        <v>#VALUE!</v>
      </c>
    </row>
    <row r="497" spans="57:58" ht="12" customHeight="1">
      <c r="BE497" s="19">
        <f t="shared" si="35"/>
        <v>0.34236111111111006</v>
      </c>
      <c r="BF497" t="e">
        <f t="shared" ca="1" si="34"/>
        <v>#VALUE!</v>
      </c>
    </row>
    <row r="498" spans="57:58" ht="12" customHeight="1">
      <c r="BE498" s="19">
        <f t="shared" si="35"/>
        <v>0.3430555555555545</v>
      </c>
      <c r="BF498" t="e">
        <f t="shared" ca="1" si="34"/>
        <v>#VALUE!</v>
      </c>
    </row>
    <row r="499" spans="57:58" ht="12" customHeight="1">
      <c r="BE499" s="19">
        <f t="shared" si="35"/>
        <v>0.34374999999999895</v>
      </c>
      <c r="BF499" t="e">
        <f t="shared" ca="1" si="34"/>
        <v>#VALUE!</v>
      </c>
    </row>
    <row r="500" spans="57:58" ht="12" customHeight="1">
      <c r="BE500" s="19">
        <f t="shared" si="35"/>
        <v>0.34444444444444339</v>
      </c>
      <c r="BF500" t="e">
        <f t="shared" ca="1" si="34"/>
        <v>#VALUE!</v>
      </c>
    </row>
    <row r="501" spans="57:58" ht="12" customHeight="1">
      <c r="BE501" s="19">
        <f t="shared" si="35"/>
        <v>0.34513888888888783</v>
      </c>
      <c r="BF501" t="e">
        <f t="shared" ca="1" si="34"/>
        <v>#VALUE!</v>
      </c>
    </row>
    <row r="502" spans="57:58" ht="12" customHeight="1">
      <c r="BE502" s="19">
        <f t="shared" si="35"/>
        <v>0.34583333333333227</v>
      </c>
      <c r="BF502" t="e">
        <f t="shared" ca="1" si="34"/>
        <v>#VALUE!</v>
      </c>
    </row>
    <row r="503" spans="57:58" ht="12" customHeight="1">
      <c r="BE503" s="19">
        <f t="shared" si="35"/>
        <v>0.34652777777777671</v>
      </c>
      <c r="BF503" t="e">
        <f t="shared" ca="1" si="34"/>
        <v>#VALUE!</v>
      </c>
    </row>
    <row r="504" spans="57:58" ht="12" customHeight="1">
      <c r="BE504" s="19">
        <f t="shared" si="35"/>
        <v>0.34722222222222116</v>
      </c>
      <c r="BF504" t="e">
        <f t="shared" ca="1" si="34"/>
        <v>#VALUE!</v>
      </c>
    </row>
    <row r="505" spans="57:58" ht="12" customHeight="1">
      <c r="BE505" s="19">
        <f t="shared" si="35"/>
        <v>0.3479166666666656</v>
      </c>
      <c r="BF505" t="e">
        <f t="shared" ca="1" si="34"/>
        <v>#VALUE!</v>
      </c>
    </row>
    <row r="506" spans="57:58" ht="12" customHeight="1">
      <c r="BE506" s="19">
        <f t="shared" si="35"/>
        <v>0.34861111111111004</v>
      </c>
      <c r="BF506" t="e">
        <f t="shared" ca="1" si="34"/>
        <v>#VALUE!</v>
      </c>
    </row>
    <row r="507" spans="57:58" ht="12" customHeight="1">
      <c r="BE507" s="19">
        <f t="shared" si="35"/>
        <v>0.34930555555555448</v>
      </c>
      <c r="BF507" t="e">
        <f t="shared" ca="1" si="34"/>
        <v>#VALUE!</v>
      </c>
    </row>
    <row r="508" spans="57:58" ht="12" customHeight="1">
      <c r="BE508" s="19">
        <f t="shared" si="35"/>
        <v>0.34999999999999892</v>
      </c>
      <c r="BF508" t="e">
        <f t="shared" ca="1" si="34"/>
        <v>#VALUE!</v>
      </c>
    </row>
    <row r="509" spans="57:58" ht="12" customHeight="1">
      <c r="BE509" s="19">
        <f t="shared" si="35"/>
        <v>0.35069444444444337</v>
      </c>
      <c r="BF509" t="e">
        <f t="shared" ca="1" si="34"/>
        <v>#VALUE!</v>
      </c>
    </row>
    <row r="510" spans="57:58" ht="12" customHeight="1">
      <c r="BE510" s="19">
        <f t="shared" si="35"/>
        <v>0.35138888888888781</v>
      </c>
      <c r="BF510" t="e">
        <f t="shared" ca="1" si="34"/>
        <v>#VALUE!</v>
      </c>
    </row>
    <row r="511" spans="57:58" ht="12" customHeight="1">
      <c r="BE511" s="19">
        <f t="shared" si="35"/>
        <v>0.35208333333333225</v>
      </c>
      <c r="BF511" t="e">
        <f t="shared" ca="1" si="34"/>
        <v>#VALUE!</v>
      </c>
    </row>
    <row r="512" spans="57:58" ht="12" customHeight="1">
      <c r="BE512" s="19">
        <f t="shared" si="35"/>
        <v>0.35277777777777669</v>
      </c>
      <c r="BF512" t="e">
        <f t="shared" ca="1" si="34"/>
        <v>#VALUE!</v>
      </c>
    </row>
    <row r="513" spans="57:58" ht="12" customHeight="1">
      <c r="BE513" s="19">
        <f t="shared" si="35"/>
        <v>0.35347222222222113</v>
      </c>
      <c r="BF513" t="e">
        <f t="shared" ca="1" si="34"/>
        <v>#VALUE!</v>
      </c>
    </row>
    <row r="514" spans="57:58" ht="12" customHeight="1">
      <c r="BE514" s="19">
        <f t="shared" si="35"/>
        <v>0.35416666666666557</v>
      </c>
      <c r="BF514" t="e">
        <f t="shared" ca="1" si="34"/>
        <v>#VALUE!</v>
      </c>
    </row>
    <row r="515" spans="57:58" ht="12" customHeight="1">
      <c r="BE515" s="19">
        <f t="shared" si="35"/>
        <v>0.35486111111111002</v>
      </c>
      <c r="BF515" t="e">
        <f t="shared" ca="1" si="34"/>
        <v>#VALUE!</v>
      </c>
    </row>
    <row r="516" spans="57:58" ht="12" customHeight="1">
      <c r="BE516" s="19">
        <f t="shared" si="35"/>
        <v>0.35555555555555446</v>
      </c>
      <c r="BF516" t="e">
        <f t="shared" ca="1" si="34"/>
        <v>#VALUE!</v>
      </c>
    </row>
    <row r="517" spans="57:58" ht="12" customHeight="1">
      <c r="BE517" s="19">
        <f t="shared" si="35"/>
        <v>0.3562499999999989</v>
      </c>
      <c r="BF517" t="e">
        <f t="shared" ref="BF517:BF580" ca="1" si="36">IF(BE517&lt;$B$5-1/1440,0,OFFSET($N$4,(BE517-$B$4)*1440,0,1,1))</f>
        <v>#VALUE!</v>
      </c>
    </row>
    <row r="518" spans="57:58" ht="12" customHeight="1">
      <c r="BE518" s="19">
        <f t="shared" ref="BE518:BE581" si="37">BE517+1/1440</f>
        <v>0.35694444444444334</v>
      </c>
      <c r="BF518" t="e">
        <f t="shared" ca="1" si="36"/>
        <v>#VALUE!</v>
      </c>
    </row>
    <row r="519" spans="57:58" ht="12" customHeight="1">
      <c r="BE519" s="19">
        <f t="shared" si="37"/>
        <v>0.35763888888888778</v>
      </c>
      <c r="BF519" t="e">
        <f t="shared" ca="1" si="36"/>
        <v>#VALUE!</v>
      </c>
    </row>
    <row r="520" spans="57:58" ht="12" customHeight="1">
      <c r="BE520" s="19">
        <f t="shared" si="37"/>
        <v>0.35833333333333223</v>
      </c>
      <c r="BF520" t="e">
        <f t="shared" ca="1" si="36"/>
        <v>#VALUE!</v>
      </c>
    </row>
    <row r="521" spans="57:58" ht="12" customHeight="1">
      <c r="BE521" s="19">
        <f t="shared" si="37"/>
        <v>0.35902777777777667</v>
      </c>
      <c r="BF521" t="e">
        <f t="shared" ca="1" si="36"/>
        <v>#VALUE!</v>
      </c>
    </row>
    <row r="522" spans="57:58" ht="12" customHeight="1">
      <c r="BE522" s="19">
        <f t="shared" si="37"/>
        <v>0.35972222222222111</v>
      </c>
      <c r="BF522" t="e">
        <f t="shared" ca="1" si="36"/>
        <v>#VALUE!</v>
      </c>
    </row>
    <row r="523" spans="57:58" ht="12" customHeight="1">
      <c r="BE523" s="19">
        <f t="shared" si="37"/>
        <v>0.36041666666666555</v>
      </c>
      <c r="BF523" t="e">
        <f t="shared" ca="1" si="36"/>
        <v>#VALUE!</v>
      </c>
    </row>
    <row r="524" spans="57:58" ht="12" customHeight="1">
      <c r="BE524" s="19">
        <f t="shared" si="37"/>
        <v>0.36111111111110999</v>
      </c>
      <c r="BF524" t="e">
        <f t="shared" ca="1" si="36"/>
        <v>#VALUE!</v>
      </c>
    </row>
    <row r="525" spans="57:58" ht="12" customHeight="1">
      <c r="BE525" s="19">
        <f t="shared" si="37"/>
        <v>0.36180555555555444</v>
      </c>
      <c r="BF525" t="e">
        <f t="shared" ca="1" si="36"/>
        <v>#VALUE!</v>
      </c>
    </row>
    <row r="526" spans="57:58" ht="12" customHeight="1">
      <c r="BE526" s="19">
        <f t="shared" si="37"/>
        <v>0.36249999999999888</v>
      </c>
      <c r="BF526" t="e">
        <f t="shared" ca="1" si="36"/>
        <v>#VALUE!</v>
      </c>
    </row>
    <row r="527" spans="57:58" ht="12" customHeight="1">
      <c r="BE527" s="19">
        <f t="shared" si="37"/>
        <v>0.36319444444444332</v>
      </c>
      <c r="BF527" t="e">
        <f t="shared" ca="1" si="36"/>
        <v>#VALUE!</v>
      </c>
    </row>
    <row r="528" spans="57:58" ht="12" customHeight="1">
      <c r="BE528" s="19">
        <f t="shared" si="37"/>
        <v>0.36388888888888776</v>
      </c>
      <c r="BF528" t="e">
        <f t="shared" ca="1" si="36"/>
        <v>#VALUE!</v>
      </c>
    </row>
    <row r="529" spans="57:58" ht="12" customHeight="1">
      <c r="BE529" s="19">
        <f t="shared" si="37"/>
        <v>0.3645833333333322</v>
      </c>
      <c r="BF529" t="e">
        <f t="shared" ca="1" si="36"/>
        <v>#VALUE!</v>
      </c>
    </row>
    <row r="530" spans="57:58" ht="12" customHeight="1">
      <c r="BE530" s="19">
        <f t="shared" si="37"/>
        <v>0.36527777777777665</v>
      </c>
      <c r="BF530" t="e">
        <f t="shared" ca="1" si="36"/>
        <v>#VALUE!</v>
      </c>
    </row>
    <row r="531" spans="57:58" ht="12" customHeight="1">
      <c r="BE531" s="19">
        <f t="shared" si="37"/>
        <v>0.36597222222222109</v>
      </c>
      <c r="BF531" t="e">
        <f t="shared" ca="1" si="36"/>
        <v>#VALUE!</v>
      </c>
    </row>
    <row r="532" spans="57:58" ht="12" customHeight="1">
      <c r="BE532" s="19">
        <f t="shared" si="37"/>
        <v>0.36666666666666553</v>
      </c>
      <c r="BF532" t="e">
        <f t="shared" ca="1" si="36"/>
        <v>#VALUE!</v>
      </c>
    </row>
    <row r="533" spans="57:58" ht="12" customHeight="1">
      <c r="BE533" s="19">
        <f t="shared" si="37"/>
        <v>0.36736111111110997</v>
      </c>
      <c r="BF533" t="e">
        <f t="shared" ca="1" si="36"/>
        <v>#VALUE!</v>
      </c>
    </row>
    <row r="534" spans="57:58" ht="12" customHeight="1">
      <c r="BE534" s="19">
        <f t="shared" si="37"/>
        <v>0.36805555555555441</v>
      </c>
      <c r="BF534" t="e">
        <f t="shared" ca="1" si="36"/>
        <v>#VALUE!</v>
      </c>
    </row>
    <row r="535" spans="57:58" ht="12" customHeight="1">
      <c r="BE535" s="19">
        <f t="shared" si="37"/>
        <v>0.36874999999999886</v>
      </c>
      <c r="BF535" t="e">
        <f t="shared" ca="1" si="36"/>
        <v>#VALUE!</v>
      </c>
    </row>
    <row r="536" spans="57:58" ht="12" customHeight="1">
      <c r="BE536" s="19">
        <f t="shared" si="37"/>
        <v>0.3694444444444433</v>
      </c>
      <c r="BF536" t="e">
        <f t="shared" ca="1" si="36"/>
        <v>#VALUE!</v>
      </c>
    </row>
    <row r="537" spans="57:58" ht="12" customHeight="1">
      <c r="BE537" s="19">
        <f t="shared" si="37"/>
        <v>0.37013888888888774</v>
      </c>
      <c r="BF537" t="e">
        <f t="shared" ca="1" si="36"/>
        <v>#VALUE!</v>
      </c>
    </row>
    <row r="538" spans="57:58" ht="12" customHeight="1">
      <c r="BE538" s="19">
        <f t="shared" si="37"/>
        <v>0.37083333333333218</v>
      </c>
      <c r="BF538" t="e">
        <f t="shared" ca="1" si="36"/>
        <v>#VALUE!</v>
      </c>
    </row>
    <row r="539" spans="57:58" ht="12" customHeight="1">
      <c r="BE539" s="19">
        <f t="shared" si="37"/>
        <v>0.37152777777777662</v>
      </c>
      <c r="BF539" t="e">
        <f t="shared" ca="1" si="36"/>
        <v>#VALUE!</v>
      </c>
    </row>
    <row r="540" spans="57:58" ht="12" customHeight="1">
      <c r="BE540" s="19">
        <f t="shared" si="37"/>
        <v>0.37222222222222107</v>
      </c>
      <c r="BF540" t="e">
        <f t="shared" ca="1" si="36"/>
        <v>#VALUE!</v>
      </c>
    </row>
    <row r="541" spans="57:58" ht="12" customHeight="1">
      <c r="BE541" s="19">
        <f t="shared" si="37"/>
        <v>0.37291666666666551</v>
      </c>
      <c r="BF541" t="e">
        <f t="shared" ca="1" si="36"/>
        <v>#VALUE!</v>
      </c>
    </row>
    <row r="542" spans="57:58" ht="12" customHeight="1">
      <c r="BE542" s="19">
        <f t="shared" si="37"/>
        <v>0.37361111111110995</v>
      </c>
      <c r="BF542" t="e">
        <f t="shared" ca="1" si="36"/>
        <v>#VALUE!</v>
      </c>
    </row>
    <row r="543" spans="57:58" ht="12" customHeight="1">
      <c r="BE543" s="19">
        <f t="shared" si="37"/>
        <v>0.37430555555555439</v>
      </c>
      <c r="BF543" t="e">
        <f t="shared" ca="1" si="36"/>
        <v>#VALUE!</v>
      </c>
    </row>
    <row r="544" spans="57:58" ht="12" customHeight="1">
      <c r="BE544" s="19">
        <f t="shared" si="37"/>
        <v>0.37499999999999883</v>
      </c>
      <c r="BF544" t="e">
        <f t="shared" ca="1" si="36"/>
        <v>#VALUE!</v>
      </c>
    </row>
    <row r="545" spans="57:58" ht="12" customHeight="1">
      <c r="BE545" s="19">
        <f t="shared" si="37"/>
        <v>0.37569444444444328</v>
      </c>
      <c r="BF545" t="e">
        <f t="shared" ca="1" si="36"/>
        <v>#VALUE!</v>
      </c>
    </row>
    <row r="546" spans="57:58" ht="12" customHeight="1">
      <c r="BE546" s="19">
        <f t="shared" si="37"/>
        <v>0.37638888888888772</v>
      </c>
      <c r="BF546" t="e">
        <f t="shared" ca="1" si="36"/>
        <v>#VALUE!</v>
      </c>
    </row>
    <row r="547" spans="57:58" ht="12" customHeight="1">
      <c r="BE547" s="19">
        <f t="shared" si="37"/>
        <v>0.37708333333333216</v>
      </c>
      <c r="BF547" t="e">
        <f t="shared" ca="1" si="36"/>
        <v>#VALUE!</v>
      </c>
    </row>
    <row r="548" spans="57:58" ht="12" customHeight="1">
      <c r="BE548" s="19">
        <f t="shared" si="37"/>
        <v>0.3777777777777766</v>
      </c>
      <c r="BF548" t="e">
        <f t="shared" ca="1" si="36"/>
        <v>#VALUE!</v>
      </c>
    </row>
    <row r="549" spans="57:58" ht="12" customHeight="1">
      <c r="BE549" s="19">
        <f t="shared" si="37"/>
        <v>0.37847222222222104</v>
      </c>
      <c r="BF549" t="e">
        <f t="shared" ca="1" si="36"/>
        <v>#VALUE!</v>
      </c>
    </row>
    <row r="550" spans="57:58" ht="12" customHeight="1">
      <c r="BE550" s="19">
        <f t="shared" si="37"/>
        <v>0.37916666666666549</v>
      </c>
      <c r="BF550" t="e">
        <f t="shared" ca="1" si="36"/>
        <v>#VALUE!</v>
      </c>
    </row>
    <row r="551" spans="57:58" ht="12" customHeight="1">
      <c r="BE551" s="19">
        <f t="shared" si="37"/>
        <v>0.37986111111110993</v>
      </c>
      <c r="BF551" t="e">
        <f t="shared" ca="1" si="36"/>
        <v>#VALUE!</v>
      </c>
    </row>
    <row r="552" spans="57:58" ht="12" customHeight="1">
      <c r="BE552" s="19">
        <f t="shared" si="37"/>
        <v>0.38055555555555437</v>
      </c>
      <c r="BF552" t="e">
        <f t="shared" ca="1" si="36"/>
        <v>#VALUE!</v>
      </c>
    </row>
    <row r="553" spans="57:58" ht="12" customHeight="1">
      <c r="BE553" s="19">
        <f t="shared" si="37"/>
        <v>0.38124999999999881</v>
      </c>
      <c r="BF553" t="e">
        <f t="shared" ca="1" si="36"/>
        <v>#VALUE!</v>
      </c>
    </row>
    <row r="554" spans="57:58" ht="12" customHeight="1">
      <c r="BE554" s="19">
        <f t="shared" si="37"/>
        <v>0.38194444444444325</v>
      </c>
      <c r="BF554" t="e">
        <f t="shared" ca="1" si="36"/>
        <v>#VALUE!</v>
      </c>
    </row>
    <row r="555" spans="57:58" ht="12" customHeight="1">
      <c r="BE555" s="19">
        <f t="shared" si="37"/>
        <v>0.3826388888888877</v>
      </c>
      <c r="BF555" t="e">
        <f t="shared" ca="1" si="36"/>
        <v>#VALUE!</v>
      </c>
    </row>
    <row r="556" spans="57:58" ht="12" customHeight="1">
      <c r="BE556" s="19">
        <f t="shared" si="37"/>
        <v>0.38333333333333214</v>
      </c>
      <c r="BF556" t="e">
        <f t="shared" ca="1" si="36"/>
        <v>#VALUE!</v>
      </c>
    </row>
    <row r="557" spans="57:58" ht="12" customHeight="1">
      <c r="BE557" s="19">
        <f t="shared" si="37"/>
        <v>0.38402777777777658</v>
      </c>
      <c r="BF557" t="e">
        <f t="shared" ca="1" si="36"/>
        <v>#VALUE!</v>
      </c>
    </row>
    <row r="558" spans="57:58" ht="12" customHeight="1">
      <c r="BE558" s="19">
        <f t="shared" si="37"/>
        <v>0.38472222222222102</v>
      </c>
      <c r="BF558" t="e">
        <f t="shared" ca="1" si="36"/>
        <v>#VALUE!</v>
      </c>
    </row>
    <row r="559" spans="57:58" ht="12" customHeight="1">
      <c r="BE559" s="19">
        <f t="shared" si="37"/>
        <v>0.38541666666666546</v>
      </c>
      <c r="BF559" t="e">
        <f t="shared" ca="1" si="36"/>
        <v>#VALUE!</v>
      </c>
    </row>
    <row r="560" spans="57:58" ht="12" customHeight="1">
      <c r="BE560" s="19">
        <f t="shared" si="37"/>
        <v>0.38611111111110991</v>
      </c>
      <c r="BF560" t="e">
        <f t="shared" ca="1" si="36"/>
        <v>#VALUE!</v>
      </c>
    </row>
    <row r="561" spans="57:58" ht="12" customHeight="1">
      <c r="BE561" s="19">
        <f t="shared" si="37"/>
        <v>0.38680555555555435</v>
      </c>
      <c r="BF561" t="e">
        <f t="shared" ca="1" si="36"/>
        <v>#VALUE!</v>
      </c>
    </row>
    <row r="562" spans="57:58" ht="12" customHeight="1">
      <c r="BE562" s="19">
        <f t="shared" si="37"/>
        <v>0.38749999999999879</v>
      </c>
      <c r="BF562" t="e">
        <f t="shared" ca="1" si="36"/>
        <v>#VALUE!</v>
      </c>
    </row>
    <row r="563" spans="57:58" ht="12" customHeight="1">
      <c r="BE563" s="19">
        <f t="shared" si="37"/>
        <v>0.38819444444444323</v>
      </c>
      <c r="BF563" t="e">
        <f t="shared" ca="1" si="36"/>
        <v>#VALUE!</v>
      </c>
    </row>
    <row r="564" spans="57:58" ht="12" customHeight="1">
      <c r="BE564" s="19">
        <f t="shared" si="37"/>
        <v>0.38888888888888767</v>
      </c>
      <c r="BF564" t="e">
        <f t="shared" ca="1" si="36"/>
        <v>#VALUE!</v>
      </c>
    </row>
    <row r="565" spans="57:58" ht="12" customHeight="1">
      <c r="BE565" s="19">
        <f t="shared" si="37"/>
        <v>0.38958333333333212</v>
      </c>
      <c r="BF565" t="e">
        <f t="shared" ca="1" si="36"/>
        <v>#VALUE!</v>
      </c>
    </row>
    <row r="566" spans="57:58" ht="12" customHeight="1">
      <c r="BE566" s="19">
        <f t="shared" si="37"/>
        <v>0.39027777777777656</v>
      </c>
      <c r="BF566" t="e">
        <f t="shared" ca="1" si="36"/>
        <v>#VALUE!</v>
      </c>
    </row>
    <row r="567" spans="57:58" ht="12" customHeight="1">
      <c r="BE567" s="19">
        <f t="shared" si="37"/>
        <v>0.390972222222221</v>
      </c>
      <c r="BF567" t="e">
        <f t="shared" ca="1" si="36"/>
        <v>#VALUE!</v>
      </c>
    </row>
    <row r="568" spans="57:58" ht="12" customHeight="1">
      <c r="BE568" s="19">
        <f t="shared" si="37"/>
        <v>0.39166666666666544</v>
      </c>
      <c r="BF568" t="e">
        <f t="shared" ca="1" si="36"/>
        <v>#VALUE!</v>
      </c>
    </row>
    <row r="569" spans="57:58" ht="12" customHeight="1">
      <c r="BE569" s="19">
        <f t="shared" si="37"/>
        <v>0.39236111111110988</v>
      </c>
      <c r="BF569" t="e">
        <f t="shared" ca="1" si="36"/>
        <v>#VALUE!</v>
      </c>
    </row>
    <row r="570" spans="57:58" ht="12" customHeight="1">
      <c r="BE570" s="19">
        <f t="shared" si="37"/>
        <v>0.39305555555555433</v>
      </c>
      <c r="BF570" t="e">
        <f t="shared" ca="1" si="36"/>
        <v>#VALUE!</v>
      </c>
    </row>
    <row r="571" spans="57:58" ht="12" customHeight="1">
      <c r="BE571" s="19">
        <f t="shared" si="37"/>
        <v>0.39374999999999877</v>
      </c>
      <c r="BF571" t="e">
        <f t="shared" ca="1" si="36"/>
        <v>#VALUE!</v>
      </c>
    </row>
    <row r="572" spans="57:58" ht="12" customHeight="1">
      <c r="BE572" s="19">
        <f t="shared" si="37"/>
        <v>0.39444444444444321</v>
      </c>
      <c r="BF572" t="e">
        <f t="shared" ca="1" si="36"/>
        <v>#VALUE!</v>
      </c>
    </row>
    <row r="573" spans="57:58" ht="12" customHeight="1">
      <c r="BE573" s="19">
        <f t="shared" si="37"/>
        <v>0.39513888888888765</v>
      </c>
      <c r="BF573" t="e">
        <f t="shared" ca="1" si="36"/>
        <v>#VALUE!</v>
      </c>
    </row>
    <row r="574" spans="57:58" ht="12" customHeight="1">
      <c r="BE574" s="19">
        <f t="shared" si="37"/>
        <v>0.39583333333333209</v>
      </c>
      <c r="BF574" t="e">
        <f t="shared" ca="1" si="36"/>
        <v>#VALUE!</v>
      </c>
    </row>
    <row r="575" spans="57:58" ht="12" customHeight="1">
      <c r="BE575" s="19">
        <f t="shared" si="37"/>
        <v>0.39652777777777654</v>
      </c>
      <c r="BF575" t="e">
        <f t="shared" ca="1" si="36"/>
        <v>#VALUE!</v>
      </c>
    </row>
    <row r="576" spans="57:58" ht="12" customHeight="1">
      <c r="BE576" s="19">
        <f t="shared" si="37"/>
        <v>0.39722222222222098</v>
      </c>
      <c r="BF576" t="e">
        <f t="shared" ca="1" si="36"/>
        <v>#VALUE!</v>
      </c>
    </row>
    <row r="577" spans="57:58" ht="12" customHeight="1">
      <c r="BE577" s="19">
        <f t="shared" si="37"/>
        <v>0.39791666666666542</v>
      </c>
      <c r="BF577" t="e">
        <f t="shared" ca="1" si="36"/>
        <v>#VALUE!</v>
      </c>
    </row>
    <row r="578" spans="57:58" ht="12" customHeight="1">
      <c r="BE578" s="19">
        <f t="shared" si="37"/>
        <v>0.39861111111110986</v>
      </c>
      <c r="BF578" t="e">
        <f t="shared" ca="1" si="36"/>
        <v>#VALUE!</v>
      </c>
    </row>
    <row r="579" spans="57:58" ht="12" customHeight="1">
      <c r="BE579" s="19">
        <f t="shared" si="37"/>
        <v>0.3993055555555543</v>
      </c>
      <c r="BF579" t="e">
        <f t="shared" ca="1" si="36"/>
        <v>#VALUE!</v>
      </c>
    </row>
    <row r="580" spans="57:58" ht="12" customHeight="1">
      <c r="BE580" s="19">
        <f t="shared" si="37"/>
        <v>0.39999999999999875</v>
      </c>
      <c r="BF580" t="e">
        <f t="shared" ca="1" si="36"/>
        <v>#VALUE!</v>
      </c>
    </row>
    <row r="581" spans="57:58" ht="12" customHeight="1">
      <c r="BE581" s="19">
        <f t="shared" si="37"/>
        <v>0.40069444444444319</v>
      </c>
      <c r="BF581" t="e">
        <f t="shared" ref="BF581:BF644" ca="1" si="38">IF(BE581&lt;$B$5-1/1440,0,OFFSET($N$4,(BE581-$B$4)*1440,0,1,1))</f>
        <v>#VALUE!</v>
      </c>
    </row>
    <row r="582" spans="57:58" ht="12" customHeight="1">
      <c r="BE582" s="19">
        <f t="shared" ref="BE582:BE645" si="39">BE581+1/1440</f>
        <v>0.40138888888888763</v>
      </c>
      <c r="BF582" t="e">
        <f t="shared" ca="1" si="38"/>
        <v>#VALUE!</v>
      </c>
    </row>
    <row r="583" spans="57:58" ht="12" customHeight="1">
      <c r="BE583" s="19">
        <f t="shared" si="39"/>
        <v>0.40208333333333207</v>
      </c>
      <c r="BF583" t="e">
        <f t="shared" ca="1" si="38"/>
        <v>#VALUE!</v>
      </c>
    </row>
    <row r="584" spans="57:58" ht="12" customHeight="1">
      <c r="BE584" s="19">
        <f t="shared" si="39"/>
        <v>0.40277777777777651</v>
      </c>
      <c r="BF584" t="e">
        <f t="shared" ca="1" si="38"/>
        <v>#VALUE!</v>
      </c>
    </row>
    <row r="585" spans="57:58" ht="12" customHeight="1">
      <c r="BE585" s="19">
        <f t="shared" si="39"/>
        <v>0.40347222222222096</v>
      </c>
      <c r="BF585" t="e">
        <f t="shared" ca="1" si="38"/>
        <v>#VALUE!</v>
      </c>
    </row>
    <row r="586" spans="57:58" ht="12" customHeight="1">
      <c r="BE586" s="19">
        <f t="shared" si="39"/>
        <v>0.4041666666666654</v>
      </c>
      <c r="BF586" t="e">
        <f t="shared" ca="1" si="38"/>
        <v>#VALUE!</v>
      </c>
    </row>
    <row r="587" spans="57:58" ht="12" customHeight="1">
      <c r="BE587" s="19">
        <f t="shared" si="39"/>
        <v>0.40486111111110984</v>
      </c>
      <c r="BF587" t="e">
        <f t="shared" ca="1" si="38"/>
        <v>#VALUE!</v>
      </c>
    </row>
    <row r="588" spans="57:58" ht="12" customHeight="1">
      <c r="BE588" s="19">
        <f t="shared" si="39"/>
        <v>0.40555555555555428</v>
      </c>
      <c r="BF588" t="e">
        <f t="shared" ca="1" si="38"/>
        <v>#VALUE!</v>
      </c>
    </row>
    <row r="589" spans="57:58" ht="12" customHeight="1">
      <c r="BE589" s="19">
        <f t="shared" si="39"/>
        <v>0.40624999999999872</v>
      </c>
      <c r="BF589" t="e">
        <f t="shared" ca="1" si="38"/>
        <v>#VALUE!</v>
      </c>
    </row>
    <row r="590" spans="57:58" ht="12" customHeight="1">
      <c r="BE590" s="19">
        <f t="shared" si="39"/>
        <v>0.40694444444444317</v>
      </c>
      <c r="BF590" t="e">
        <f t="shared" ca="1" si="38"/>
        <v>#VALUE!</v>
      </c>
    </row>
    <row r="591" spans="57:58" ht="12" customHeight="1">
      <c r="BE591" s="19">
        <f t="shared" si="39"/>
        <v>0.40763888888888761</v>
      </c>
      <c r="BF591" t="e">
        <f t="shared" ca="1" si="38"/>
        <v>#VALUE!</v>
      </c>
    </row>
    <row r="592" spans="57:58" ht="12" customHeight="1">
      <c r="BE592" s="19">
        <f t="shared" si="39"/>
        <v>0.40833333333333205</v>
      </c>
      <c r="BF592" t="e">
        <f t="shared" ca="1" si="38"/>
        <v>#VALUE!</v>
      </c>
    </row>
    <row r="593" spans="57:58" ht="12" customHeight="1">
      <c r="BE593" s="19">
        <f t="shared" si="39"/>
        <v>0.40902777777777649</v>
      </c>
      <c r="BF593" t="e">
        <f t="shared" ca="1" si="38"/>
        <v>#VALUE!</v>
      </c>
    </row>
    <row r="594" spans="57:58" ht="12" customHeight="1">
      <c r="BE594" s="19">
        <f t="shared" si="39"/>
        <v>0.40972222222222093</v>
      </c>
      <c r="BF594" t="e">
        <f t="shared" ca="1" si="38"/>
        <v>#VALUE!</v>
      </c>
    </row>
    <row r="595" spans="57:58" ht="12" customHeight="1">
      <c r="BE595" s="19">
        <f t="shared" si="39"/>
        <v>0.41041666666666538</v>
      </c>
      <c r="BF595" t="e">
        <f t="shared" ca="1" si="38"/>
        <v>#VALUE!</v>
      </c>
    </row>
    <row r="596" spans="57:58" ht="12" customHeight="1">
      <c r="BE596" s="19">
        <f t="shared" si="39"/>
        <v>0.41111111111110982</v>
      </c>
      <c r="BF596" t="e">
        <f t="shared" ca="1" si="38"/>
        <v>#VALUE!</v>
      </c>
    </row>
    <row r="597" spans="57:58" ht="12" customHeight="1">
      <c r="BE597" s="19">
        <f t="shared" si="39"/>
        <v>0.41180555555555426</v>
      </c>
      <c r="BF597" t="e">
        <f t="shared" ca="1" si="38"/>
        <v>#VALUE!</v>
      </c>
    </row>
    <row r="598" spans="57:58" ht="12" customHeight="1">
      <c r="BE598" s="19">
        <f t="shared" si="39"/>
        <v>0.4124999999999987</v>
      </c>
      <c r="BF598" t="e">
        <f t="shared" ca="1" si="38"/>
        <v>#VALUE!</v>
      </c>
    </row>
    <row r="599" spans="57:58" ht="12" customHeight="1">
      <c r="BE599" s="19">
        <f t="shared" si="39"/>
        <v>0.41319444444444314</v>
      </c>
      <c r="BF599" t="e">
        <f t="shared" ca="1" si="38"/>
        <v>#VALUE!</v>
      </c>
    </row>
    <row r="600" spans="57:58" ht="12" customHeight="1">
      <c r="BE600" s="19">
        <f t="shared" si="39"/>
        <v>0.41388888888888758</v>
      </c>
      <c r="BF600" t="e">
        <f t="shared" ca="1" si="38"/>
        <v>#VALUE!</v>
      </c>
    </row>
    <row r="601" spans="57:58" ht="12" customHeight="1">
      <c r="BE601" s="19">
        <f t="shared" si="39"/>
        <v>0.41458333333333203</v>
      </c>
      <c r="BF601" t="e">
        <f t="shared" ca="1" si="38"/>
        <v>#VALUE!</v>
      </c>
    </row>
    <row r="602" spans="57:58" ht="12" customHeight="1">
      <c r="BE602" s="19">
        <f t="shared" si="39"/>
        <v>0.41527777777777647</v>
      </c>
      <c r="BF602" t="e">
        <f t="shared" ca="1" si="38"/>
        <v>#VALUE!</v>
      </c>
    </row>
    <row r="603" spans="57:58" ht="12" customHeight="1">
      <c r="BE603" s="19">
        <f t="shared" si="39"/>
        <v>0.41597222222222091</v>
      </c>
      <c r="BF603" t="e">
        <f t="shared" ca="1" si="38"/>
        <v>#VALUE!</v>
      </c>
    </row>
    <row r="604" spans="57:58" ht="12" customHeight="1">
      <c r="BE604" s="19">
        <f t="shared" si="39"/>
        <v>0.41666666666666535</v>
      </c>
      <c r="BF604" t="e">
        <f t="shared" ca="1" si="38"/>
        <v>#VALUE!</v>
      </c>
    </row>
    <row r="605" spans="57:58" ht="12" customHeight="1">
      <c r="BE605" s="19">
        <f t="shared" si="39"/>
        <v>0.41736111111110979</v>
      </c>
      <c r="BF605" t="e">
        <f t="shared" ca="1" si="38"/>
        <v>#VALUE!</v>
      </c>
    </row>
    <row r="606" spans="57:58" ht="12" customHeight="1">
      <c r="BE606" s="19">
        <f t="shared" si="39"/>
        <v>0.41805555555555424</v>
      </c>
      <c r="BF606" t="e">
        <f t="shared" ca="1" si="38"/>
        <v>#VALUE!</v>
      </c>
    </row>
    <row r="607" spans="57:58" ht="12" customHeight="1">
      <c r="BE607" s="19">
        <f t="shared" si="39"/>
        <v>0.41874999999999868</v>
      </c>
      <c r="BF607" t="e">
        <f t="shared" ca="1" si="38"/>
        <v>#VALUE!</v>
      </c>
    </row>
    <row r="608" spans="57:58" ht="12" customHeight="1">
      <c r="BE608" s="19">
        <f t="shared" si="39"/>
        <v>0.41944444444444312</v>
      </c>
      <c r="BF608" t="e">
        <f t="shared" ca="1" si="38"/>
        <v>#VALUE!</v>
      </c>
    </row>
    <row r="609" spans="57:58" ht="12" customHeight="1">
      <c r="BE609" s="19">
        <f t="shared" si="39"/>
        <v>0.42013888888888756</v>
      </c>
      <c r="BF609" t="e">
        <f t="shared" ca="1" si="38"/>
        <v>#VALUE!</v>
      </c>
    </row>
    <row r="610" spans="57:58" ht="12" customHeight="1">
      <c r="BE610" s="19">
        <f t="shared" si="39"/>
        <v>0.420833333333332</v>
      </c>
      <c r="BF610" t="e">
        <f t="shared" ca="1" si="38"/>
        <v>#VALUE!</v>
      </c>
    </row>
    <row r="611" spans="57:58" ht="12" customHeight="1">
      <c r="BE611" s="19">
        <f t="shared" si="39"/>
        <v>0.42152777777777645</v>
      </c>
      <c r="BF611" t="e">
        <f t="shared" ca="1" si="38"/>
        <v>#VALUE!</v>
      </c>
    </row>
    <row r="612" spans="57:58" ht="12" customHeight="1">
      <c r="BE612" s="19">
        <f t="shared" si="39"/>
        <v>0.42222222222222089</v>
      </c>
      <c r="BF612" t="e">
        <f t="shared" ca="1" si="38"/>
        <v>#VALUE!</v>
      </c>
    </row>
    <row r="613" spans="57:58" ht="12" customHeight="1">
      <c r="BE613" s="19">
        <f t="shared" si="39"/>
        <v>0.42291666666666533</v>
      </c>
      <c r="BF613" t="e">
        <f t="shared" ca="1" si="38"/>
        <v>#VALUE!</v>
      </c>
    </row>
    <row r="614" spans="57:58" ht="12" customHeight="1">
      <c r="BE614" s="19">
        <f t="shared" si="39"/>
        <v>0.42361111111110977</v>
      </c>
      <c r="BF614" t="e">
        <f t="shared" ca="1" si="38"/>
        <v>#VALUE!</v>
      </c>
    </row>
    <row r="615" spans="57:58" ht="12" customHeight="1">
      <c r="BE615" s="19">
        <f t="shared" si="39"/>
        <v>0.42430555555555421</v>
      </c>
      <c r="BF615" t="e">
        <f t="shared" ca="1" si="38"/>
        <v>#VALUE!</v>
      </c>
    </row>
    <row r="616" spans="57:58" ht="12" customHeight="1">
      <c r="BE616" s="19">
        <f t="shared" si="39"/>
        <v>0.42499999999999866</v>
      </c>
      <c r="BF616" t="e">
        <f t="shared" ca="1" si="38"/>
        <v>#VALUE!</v>
      </c>
    </row>
    <row r="617" spans="57:58" ht="12" customHeight="1">
      <c r="BE617" s="19">
        <f t="shared" si="39"/>
        <v>0.4256944444444431</v>
      </c>
      <c r="BF617" t="e">
        <f t="shared" ca="1" si="38"/>
        <v>#VALUE!</v>
      </c>
    </row>
    <row r="618" spans="57:58" ht="12" customHeight="1">
      <c r="BE618" s="19">
        <f t="shared" si="39"/>
        <v>0.42638888888888754</v>
      </c>
      <c r="BF618" t="e">
        <f t="shared" ca="1" si="38"/>
        <v>#VALUE!</v>
      </c>
    </row>
    <row r="619" spans="57:58" ht="12" customHeight="1">
      <c r="BE619" s="19">
        <f t="shared" si="39"/>
        <v>0.42708333333333198</v>
      </c>
      <c r="BF619" t="e">
        <f t="shared" ca="1" si="38"/>
        <v>#VALUE!</v>
      </c>
    </row>
    <row r="620" spans="57:58" ht="12" customHeight="1">
      <c r="BE620" s="19">
        <f t="shared" si="39"/>
        <v>0.42777777777777642</v>
      </c>
      <c r="BF620" t="e">
        <f t="shared" ca="1" si="38"/>
        <v>#VALUE!</v>
      </c>
    </row>
    <row r="621" spans="57:58" ht="12" customHeight="1">
      <c r="BE621" s="19">
        <f t="shared" si="39"/>
        <v>0.42847222222222087</v>
      </c>
      <c r="BF621" t="e">
        <f t="shared" ca="1" si="38"/>
        <v>#VALUE!</v>
      </c>
    </row>
    <row r="622" spans="57:58" ht="12" customHeight="1">
      <c r="BE622" s="19">
        <f t="shared" si="39"/>
        <v>0.42916666666666531</v>
      </c>
      <c r="BF622" t="e">
        <f t="shared" ca="1" si="38"/>
        <v>#VALUE!</v>
      </c>
    </row>
    <row r="623" spans="57:58" ht="12" customHeight="1">
      <c r="BE623" s="19">
        <f t="shared" si="39"/>
        <v>0.42986111111110975</v>
      </c>
      <c r="BF623" t="e">
        <f t="shared" ca="1" si="38"/>
        <v>#VALUE!</v>
      </c>
    </row>
    <row r="624" spans="57:58" ht="12" customHeight="1">
      <c r="BE624" s="19">
        <f t="shared" si="39"/>
        <v>0.43055555555555419</v>
      </c>
      <c r="BF624" t="e">
        <f t="shared" ca="1" si="38"/>
        <v>#VALUE!</v>
      </c>
    </row>
    <row r="625" spans="57:58" ht="12" customHeight="1">
      <c r="BE625" s="19">
        <f t="shared" si="39"/>
        <v>0.43124999999999863</v>
      </c>
      <c r="BF625" t="e">
        <f t="shared" ca="1" si="38"/>
        <v>#VALUE!</v>
      </c>
    </row>
    <row r="626" spans="57:58" ht="12" customHeight="1">
      <c r="BE626" s="19">
        <f t="shared" si="39"/>
        <v>0.43194444444444308</v>
      </c>
      <c r="BF626" t="e">
        <f t="shared" ca="1" si="38"/>
        <v>#VALUE!</v>
      </c>
    </row>
    <row r="627" spans="57:58" ht="12" customHeight="1">
      <c r="BE627" s="19">
        <f t="shared" si="39"/>
        <v>0.43263888888888752</v>
      </c>
      <c r="BF627" t="e">
        <f t="shared" ca="1" si="38"/>
        <v>#VALUE!</v>
      </c>
    </row>
    <row r="628" spans="57:58" ht="12" customHeight="1">
      <c r="BE628" s="19">
        <f t="shared" si="39"/>
        <v>0.43333333333333196</v>
      </c>
      <c r="BF628" t="e">
        <f t="shared" ca="1" si="38"/>
        <v>#VALUE!</v>
      </c>
    </row>
    <row r="629" spans="57:58" ht="12" customHeight="1">
      <c r="BE629" s="19">
        <f t="shared" si="39"/>
        <v>0.4340277777777764</v>
      </c>
      <c r="BF629" t="e">
        <f t="shared" ca="1" si="38"/>
        <v>#VALUE!</v>
      </c>
    </row>
    <row r="630" spans="57:58" ht="12" customHeight="1">
      <c r="BE630" s="19">
        <f t="shared" si="39"/>
        <v>0.43472222222222084</v>
      </c>
      <c r="BF630" t="e">
        <f t="shared" ca="1" si="38"/>
        <v>#VALUE!</v>
      </c>
    </row>
    <row r="631" spans="57:58" ht="12" customHeight="1">
      <c r="BE631" s="19">
        <f t="shared" si="39"/>
        <v>0.43541666666666529</v>
      </c>
      <c r="BF631" t="e">
        <f t="shared" ca="1" si="38"/>
        <v>#VALUE!</v>
      </c>
    </row>
    <row r="632" spans="57:58" ht="12" customHeight="1">
      <c r="BE632" s="19">
        <f t="shared" si="39"/>
        <v>0.43611111111110973</v>
      </c>
      <c r="BF632" t="e">
        <f t="shared" ca="1" si="38"/>
        <v>#VALUE!</v>
      </c>
    </row>
    <row r="633" spans="57:58" ht="12" customHeight="1">
      <c r="BE633" s="19">
        <f t="shared" si="39"/>
        <v>0.43680555555555417</v>
      </c>
      <c r="BF633" t="e">
        <f t="shared" ca="1" si="38"/>
        <v>#VALUE!</v>
      </c>
    </row>
    <row r="634" spans="57:58" ht="12" customHeight="1">
      <c r="BE634" s="19">
        <f t="shared" si="39"/>
        <v>0.43749999999999861</v>
      </c>
      <c r="BF634" t="e">
        <f t="shared" ca="1" si="38"/>
        <v>#VALUE!</v>
      </c>
    </row>
    <row r="635" spans="57:58" ht="12" customHeight="1">
      <c r="BE635" s="19">
        <f t="shared" si="39"/>
        <v>0.43819444444444305</v>
      </c>
      <c r="BF635" t="e">
        <f t="shared" ca="1" si="38"/>
        <v>#VALUE!</v>
      </c>
    </row>
    <row r="636" spans="57:58" ht="12" customHeight="1">
      <c r="BE636" s="19">
        <f t="shared" si="39"/>
        <v>0.4388888888888875</v>
      </c>
      <c r="BF636" t="e">
        <f t="shared" ca="1" si="38"/>
        <v>#VALUE!</v>
      </c>
    </row>
    <row r="637" spans="57:58" ht="12" customHeight="1">
      <c r="BE637" s="19">
        <f t="shared" si="39"/>
        <v>0.43958333333333194</v>
      </c>
      <c r="BF637" t="e">
        <f t="shared" ca="1" si="38"/>
        <v>#VALUE!</v>
      </c>
    </row>
    <row r="638" spans="57:58" ht="12" customHeight="1">
      <c r="BE638" s="19">
        <f t="shared" si="39"/>
        <v>0.44027777777777638</v>
      </c>
      <c r="BF638" t="e">
        <f t="shared" ca="1" si="38"/>
        <v>#VALUE!</v>
      </c>
    </row>
    <row r="639" spans="57:58" ht="12" customHeight="1">
      <c r="BE639" s="19">
        <f t="shared" si="39"/>
        <v>0.44097222222222082</v>
      </c>
      <c r="BF639" t="e">
        <f t="shared" ca="1" si="38"/>
        <v>#VALUE!</v>
      </c>
    </row>
    <row r="640" spans="57:58" ht="12" customHeight="1">
      <c r="BE640" s="19">
        <f t="shared" si="39"/>
        <v>0.44166666666666526</v>
      </c>
      <c r="BF640" t="e">
        <f t="shared" ca="1" si="38"/>
        <v>#VALUE!</v>
      </c>
    </row>
    <row r="641" spans="57:58" ht="12" customHeight="1">
      <c r="BE641" s="19">
        <f t="shared" si="39"/>
        <v>0.44236111111110971</v>
      </c>
      <c r="BF641" t="e">
        <f t="shared" ca="1" si="38"/>
        <v>#VALUE!</v>
      </c>
    </row>
    <row r="642" spans="57:58" ht="12" customHeight="1">
      <c r="BE642" s="19">
        <f t="shared" si="39"/>
        <v>0.44305555555555415</v>
      </c>
      <c r="BF642" t="e">
        <f t="shared" ca="1" si="38"/>
        <v>#VALUE!</v>
      </c>
    </row>
    <row r="643" spans="57:58" ht="12" customHeight="1">
      <c r="BE643" s="19">
        <f t="shared" si="39"/>
        <v>0.44374999999999859</v>
      </c>
      <c r="BF643" t="e">
        <f t="shared" ca="1" si="38"/>
        <v>#VALUE!</v>
      </c>
    </row>
    <row r="644" spans="57:58" ht="12" customHeight="1">
      <c r="BE644" s="19">
        <f t="shared" si="39"/>
        <v>0.44444444444444303</v>
      </c>
      <c r="BF644" t="e">
        <f t="shared" ca="1" si="38"/>
        <v>#VALUE!</v>
      </c>
    </row>
    <row r="645" spans="57:58" ht="12" customHeight="1">
      <c r="BE645" s="19">
        <f t="shared" si="39"/>
        <v>0.44513888888888747</v>
      </c>
      <c r="BF645" t="e">
        <f t="shared" ref="BF645:BF708" ca="1" si="40">IF(BE645&lt;$B$5-1/1440,0,OFFSET($N$4,(BE645-$B$4)*1440,0,1,1))</f>
        <v>#VALUE!</v>
      </c>
    </row>
    <row r="646" spans="57:58" ht="12" customHeight="1">
      <c r="BE646" s="19">
        <f t="shared" ref="BE646:BE709" si="41">BE645+1/1440</f>
        <v>0.44583333333333192</v>
      </c>
      <c r="BF646" t="e">
        <f t="shared" ca="1" si="40"/>
        <v>#VALUE!</v>
      </c>
    </row>
    <row r="647" spans="57:58" ht="12" customHeight="1">
      <c r="BE647" s="19">
        <f t="shared" si="41"/>
        <v>0.44652777777777636</v>
      </c>
      <c r="BF647" t="e">
        <f t="shared" ca="1" si="40"/>
        <v>#VALUE!</v>
      </c>
    </row>
    <row r="648" spans="57:58" ht="12" customHeight="1">
      <c r="BE648" s="19">
        <f t="shared" si="41"/>
        <v>0.4472222222222208</v>
      </c>
      <c r="BF648" t="e">
        <f t="shared" ca="1" si="40"/>
        <v>#VALUE!</v>
      </c>
    </row>
    <row r="649" spans="57:58" ht="12" customHeight="1">
      <c r="BE649" s="19">
        <f t="shared" si="41"/>
        <v>0.44791666666666524</v>
      </c>
      <c r="BF649" t="e">
        <f t="shared" ca="1" si="40"/>
        <v>#VALUE!</v>
      </c>
    </row>
    <row r="650" spans="57:58" ht="12" customHeight="1">
      <c r="BE650" s="19">
        <f t="shared" si="41"/>
        <v>0.44861111111110968</v>
      </c>
      <c r="BF650" t="e">
        <f t="shared" ca="1" si="40"/>
        <v>#VALUE!</v>
      </c>
    </row>
    <row r="651" spans="57:58" ht="12" customHeight="1">
      <c r="BE651" s="19">
        <f t="shared" si="41"/>
        <v>0.44930555555555413</v>
      </c>
      <c r="BF651" t="e">
        <f t="shared" ca="1" si="40"/>
        <v>#VALUE!</v>
      </c>
    </row>
    <row r="652" spans="57:58" ht="12" customHeight="1">
      <c r="BE652" s="19">
        <f t="shared" si="41"/>
        <v>0.44999999999999857</v>
      </c>
      <c r="BF652" t="e">
        <f t="shared" ca="1" si="40"/>
        <v>#VALUE!</v>
      </c>
    </row>
    <row r="653" spans="57:58" ht="12" customHeight="1">
      <c r="BE653" s="19">
        <f t="shared" si="41"/>
        <v>0.45069444444444301</v>
      </c>
      <c r="BF653" t="e">
        <f t="shared" ca="1" si="40"/>
        <v>#VALUE!</v>
      </c>
    </row>
    <row r="654" spans="57:58" ht="12" customHeight="1">
      <c r="BE654" s="19">
        <f t="shared" si="41"/>
        <v>0.45138888888888745</v>
      </c>
      <c r="BF654" t="e">
        <f t="shared" ca="1" si="40"/>
        <v>#VALUE!</v>
      </c>
    </row>
    <row r="655" spans="57:58" ht="12" customHeight="1">
      <c r="BE655" s="19">
        <f t="shared" si="41"/>
        <v>0.45208333333333189</v>
      </c>
      <c r="BF655" t="e">
        <f t="shared" ca="1" si="40"/>
        <v>#VALUE!</v>
      </c>
    </row>
    <row r="656" spans="57:58" ht="12" customHeight="1">
      <c r="BE656" s="19">
        <f t="shared" si="41"/>
        <v>0.45277777777777634</v>
      </c>
      <c r="BF656" t="e">
        <f t="shared" ca="1" si="40"/>
        <v>#VALUE!</v>
      </c>
    </row>
    <row r="657" spans="57:58" ht="12" customHeight="1">
      <c r="BE657" s="19">
        <f t="shared" si="41"/>
        <v>0.45347222222222078</v>
      </c>
      <c r="BF657" t="e">
        <f t="shared" ca="1" si="40"/>
        <v>#VALUE!</v>
      </c>
    </row>
    <row r="658" spans="57:58" ht="12" customHeight="1">
      <c r="BE658" s="19">
        <f t="shared" si="41"/>
        <v>0.45416666666666522</v>
      </c>
      <c r="BF658" t="e">
        <f t="shared" ca="1" si="40"/>
        <v>#VALUE!</v>
      </c>
    </row>
    <row r="659" spans="57:58" ht="12" customHeight="1">
      <c r="BE659" s="19">
        <f t="shared" si="41"/>
        <v>0.45486111111110966</v>
      </c>
      <c r="BF659" t="e">
        <f t="shared" ca="1" si="40"/>
        <v>#VALUE!</v>
      </c>
    </row>
    <row r="660" spans="57:58" ht="12" customHeight="1">
      <c r="BE660" s="19">
        <f t="shared" si="41"/>
        <v>0.4555555555555541</v>
      </c>
      <c r="BF660" t="e">
        <f t="shared" ca="1" si="40"/>
        <v>#VALUE!</v>
      </c>
    </row>
    <row r="661" spans="57:58" ht="12" customHeight="1">
      <c r="BE661" s="19">
        <f t="shared" si="41"/>
        <v>0.45624999999999855</v>
      </c>
      <c r="BF661" t="e">
        <f t="shared" ca="1" si="40"/>
        <v>#VALUE!</v>
      </c>
    </row>
    <row r="662" spans="57:58" ht="12" customHeight="1">
      <c r="BE662" s="19">
        <f t="shared" si="41"/>
        <v>0.45694444444444299</v>
      </c>
      <c r="BF662" t="e">
        <f t="shared" ca="1" si="40"/>
        <v>#VALUE!</v>
      </c>
    </row>
    <row r="663" spans="57:58" ht="12" customHeight="1">
      <c r="BE663" s="19">
        <f t="shared" si="41"/>
        <v>0.45763888888888743</v>
      </c>
      <c r="BF663" t="e">
        <f t="shared" ca="1" si="40"/>
        <v>#VALUE!</v>
      </c>
    </row>
    <row r="664" spans="57:58" ht="12" customHeight="1">
      <c r="BE664" s="19">
        <f t="shared" si="41"/>
        <v>0.45833333333333187</v>
      </c>
      <c r="BF664" t="e">
        <f t="shared" ca="1" si="40"/>
        <v>#VALUE!</v>
      </c>
    </row>
    <row r="665" spans="57:58" ht="12" customHeight="1">
      <c r="BE665" s="19">
        <f t="shared" si="41"/>
        <v>0.45902777777777631</v>
      </c>
      <c r="BF665" t="e">
        <f t="shared" ca="1" si="40"/>
        <v>#VALUE!</v>
      </c>
    </row>
    <row r="666" spans="57:58" ht="12" customHeight="1">
      <c r="BE666" s="19">
        <f t="shared" si="41"/>
        <v>0.45972222222222076</v>
      </c>
      <c r="BF666" t="e">
        <f t="shared" ca="1" si="40"/>
        <v>#VALUE!</v>
      </c>
    </row>
    <row r="667" spans="57:58" ht="12" customHeight="1">
      <c r="BE667" s="19">
        <f t="shared" si="41"/>
        <v>0.4604166666666652</v>
      </c>
      <c r="BF667" t="e">
        <f t="shared" ca="1" si="40"/>
        <v>#VALUE!</v>
      </c>
    </row>
    <row r="668" spans="57:58" ht="12" customHeight="1">
      <c r="BE668" s="19">
        <f t="shared" si="41"/>
        <v>0.46111111111110964</v>
      </c>
      <c r="BF668" t="e">
        <f t="shared" ca="1" si="40"/>
        <v>#VALUE!</v>
      </c>
    </row>
    <row r="669" spans="57:58" ht="12" customHeight="1">
      <c r="BE669" s="19">
        <f t="shared" si="41"/>
        <v>0.46180555555555408</v>
      </c>
      <c r="BF669" t="e">
        <f t="shared" ca="1" si="40"/>
        <v>#VALUE!</v>
      </c>
    </row>
    <row r="670" spans="57:58" ht="12" customHeight="1">
      <c r="BE670" s="19">
        <f t="shared" si="41"/>
        <v>0.46249999999999852</v>
      </c>
      <c r="BF670" t="e">
        <f t="shared" ca="1" si="40"/>
        <v>#VALUE!</v>
      </c>
    </row>
    <row r="671" spans="57:58" ht="12" customHeight="1">
      <c r="BE671" s="19">
        <f t="shared" si="41"/>
        <v>0.46319444444444297</v>
      </c>
      <c r="BF671" t="e">
        <f t="shared" ca="1" si="40"/>
        <v>#VALUE!</v>
      </c>
    </row>
    <row r="672" spans="57:58" ht="12" customHeight="1">
      <c r="BE672" s="19">
        <f t="shared" si="41"/>
        <v>0.46388888888888741</v>
      </c>
      <c r="BF672" t="e">
        <f t="shared" ca="1" si="40"/>
        <v>#VALUE!</v>
      </c>
    </row>
    <row r="673" spans="57:58" ht="12" customHeight="1">
      <c r="BE673" s="19">
        <f t="shared" si="41"/>
        <v>0.46458333333333185</v>
      </c>
      <c r="BF673" t="e">
        <f t="shared" ca="1" si="40"/>
        <v>#VALUE!</v>
      </c>
    </row>
    <row r="674" spans="57:58" ht="12" customHeight="1">
      <c r="BE674" s="19">
        <f t="shared" si="41"/>
        <v>0.46527777777777629</v>
      </c>
      <c r="BF674" t="e">
        <f t="shared" ca="1" si="40"/>
        <v>#VALUE!</v>
      </c>
    </row>
    <row r="675" spans="57:58" ht="12" customHeight="1">
      <c r="BE675" s="19">
        <f t="shared" si="41"/>
        <v>0.46597222222222073</v>
      </c>
      <c r="BF675" t="e">
        <f t="shared" ca="1" si="40"/>
        <v>#VALUE!</v>
      </c>
    </row>
    <row r="676" spans="57:58" ht="12" customHeight="1">
      <c r="BE676" s="19">
        <f t="shared" si="41"/>
        <v>0.46666666666666518</v>
      </c>
      <c r="BF676" t="e">
        <f t="shared" ca="1" si="40"/>
        <v>#VALUE!</v>
      </c>
    </row>
    <row r="677" spans="57:58" ht="12" customHeight="1">
      <c r="BE677" s="19">
        <f t="shared" si="41"/>
        <v>0.46736111111110962</v>
      </c>
      <c r="BF677" t="e">
        <f t="shared" ca="1" si="40"/>
        <v>#VALUE!</v>
      </c>
    </row>
    <row r="678" spans="57:58" ht="12" customHeight="1">
      <c r="BE678" s="19">
        <f t="shared" si="41"/>
        <v>0.46805555555555406</v>
      </c>
      <c r="BF678" t="e">
        <f t="shared" ca="1" si="40"/>
        <v>#VALUE!</v>
      </c>
    </row>
    <row r="679" spans="57:58" ht="12" customHeight="1">
      <c r="BE679" s="19">
        <f t="shared" si="41"/>
        <v>0.4687499999999985</v>
      </c>
      <c r="BF679" t="e">
        <f t="shared" ca="1" si="40"/>
        <v>#VALUE!</v>
      </c>
    </row>
    <row r="680" spans="57:58" ht="12" customHeight="1">
      <c r="BE680" s="19">
        <f t="shared" si="41"/>
        <v>0.46944444444444294</v>
      </c>
      <c r="BF680" t="e">
        <f t="shared" ca="1" si="40"/>
        <v>#VALUE!</v>
      </c>
    </row>
    <row r="681" spans="57:58" ht="12" customHeight="1">
      <c r="BE681" s="19">
        <f t="shared" si="41"/>
        <v>0.47013888888888739</v>
      </c>
      <c r="BF681" t="e">
        <f t="shared" ca="1" si="40"/>
        <v>#VALUE!</v>
      </c>
    </row>
    <row r="682" spans="57:58" ht="12" customHeight="1">
      <c r="BE682" s="19">
        <f t="shared" si="41"/>
        <v>0.47083333333333183</v>
      </c>
      <c r="BF682" t="e">
        <f t="shared" ca="1" si="40"/>
        <v>#VALUE!</v>
      </c>
    </row>
    <row r="683" spans="57:58" ht="12" customHeight="1">
      <c r="BE683" s="19">
        <f t="shared" si="41"/>
        <v>0.47152777777777627</v>
      </c>
      <c r="BF683" t="e">
        <f t="shared" ca="1" si="40"/>
        <v>#VALUE!</v>
      </c>
    </row>
    <row r="684" spans="57:58" ht="12" customHeight="1">
      <c r="BE684" s="19">
        <f t="shared" si="41"/>
        <v>0.47222222222222071</v>
      </c>
      <c r="BF684" t="e">
        <f t="shared" ca="1" si="40"/>
        <v>#VALUE!</v>
      </c>
    </row>
    <row r="685" spans="57:58" ht="12" customHeight="1">
      <c r="BE685" s="19">
        <f t="shared" si="41"/>
        <v>0.47291666666666515</v>
      </c>
      <c r="BF685" t="e">
        <f t="shared" ca="1" si="40"/>
        <v>#VALUE!</v>
      </c>
    </row>
    <row r="686" spans="57:58" ht="12" customHeight="1">
      <c r="BE686" s="19">
        <f t="shared" si="41"/>
        <v>0.4736111111111096</v>
      </c>
      <c r="BF686" t="e">
        <f t="shared" ca="1" si="40"/>
        <v>#VALUE!</v>
      </c>
    </row>
    <row r="687" spans="57:58" ht="12" customHeight="1">
      <c r="BE687" s="19">
        <f t="shared" si="41"/>
        <v>0.47430555555555404</v>
      </c>
      <c r="BF687" t="e">
        <f t="shared" ca="1" si="40"/>
        <v>#VALUE!</v>
      </c>
    </row>
    <row r="688" spans="57:58" ht="12" customHeight="1">
      <c r="BE688" s="19">
        <f t="shared" si="41"/>
        <v>0.47499999999999848</v>
      </c>
      <c r="BF688" t="e">
        <f t="shared" ca="1" si="40"/>
        <v>#VALUE!</v>
      </c>
    </row>
    <row r="689" spans="57:58" ht="12" customHeight="1">
      <c r="BE689" s="19">
        <f t="shared" si="41"/>
        <v>0.47569444444444292</v>
      </c>
      <c r="BF689" t="e">
        <f t="shared" ca="1" si="40"/>
        <v>#VALUE!</v>
      </c>
    </row>
    <row r="690" spans="57:58" ht="12" customHeight="1">
      <c r="BE690" s="19">
        <f t="shared" si="41"/>
        <v>0.47638888888888736</v>
      </c>
      <c r="BF690" t="e">
        <f t="shared" ca="1" si="40"/>
        <v>#VALUE!</v>
      </c>
    </row>
    <row r="691" spans="57:58" ht="12" customHeight="1">
      <c r="BE691" s="19">
        <f t="shared" si="41"/>
        <v>0.4770833333333318</v>
      </c>
      <c r="BF691" t="e">
        <f t="shared" ca="1" si="40"/>
        <v>#VALUE!</v>
      </c>
    </row>
    <row r="692" spans="57:58" ht="12" customHeight="1">
      <c r="BE692" s="19">
        <f t="shared" si="41"/>
        <v>0.47777777777777625</v>
      </c>
      <c r="BF692" t="e">
        <f t="shared" ca="1" si="40"/>
        <v>#VALUE!</v>
      </c>
    </row>
    <row r="693" spans="57:58" ht="12" customHeight="1">
      <c r="BE693" s="19">
        <f t="shared" si="41"/>
        <v>0.47847222222222069</v>
      </c>
      <c r="BF693" t="e">
        <f t="shared" ca="1" si="40"/>
        <v>#VALUE!</v>
      </c>
    </row>
    <row r="694" spans="57:58" ht="12" customHeight="1">
      <c r="BE694" s="19">
        <f t="shared" si="41"/>
        <v>0.47916666666666513</v>
      </c>
      <c r="BF694" t="e">
        <f t="shared" ca="1" si="40"/>
        <v>#VALUE!</v>
      </c>
    </row>
    <row r="695" spans="57:58" ht="12" customHeight="1">
      <c r="BE695" s="19">
        <f t="shared" si="41"/>
        <v>0.47986111111110957</v>
      </c>
      <c r="BF695" t="e">
        <f t="shared" ca="1" si="40"/>
        <v>#VALUE!</v>
      </c>
    </row>
    <row r="696" spans="57:58" ht="12" customHeight="1">
      <c r="BE696" s="19">
        <f t="shared" si="41"/>
        <v>0.48055555555555401</v>
      </c>
      <c r="BF696" t="e">
        <f t="shared" ca="1" si="40"/>
        <v>#VALUE!</v>
      </c>
    </row>
    <row r="697" spans="57:58" ht="12" customHeight="1">
      <c r="BE697" s="19">
        <f t="shared" si="41"/>
        <v>0.48124999999999846</v>
      </c>
      <c r="BF697" t="e">
        <f t="shared" ca="1" si="40"/>
        <v>#VALUE!</v>
      </c>
    </row>
    <row r="698" spans="57:58" ht="12" customHeight="1">
      <c r="BE698" s="19">
        <f t="shared" si="41"/>
        <v>0.4819444444444429</v>
      </c>
      <c r="BF698" t="e">
        <f t="shared" ca="1" si="40"/>
        <v>#VALUE!</v>
      </c>
    </row>
    <row r="699" spans="57:58" ht="12" customHeight="1">
      <c r="BE699" s="19">
        <f t="shared" si="41"/>
        <v>0.48263888888888734</v>
      </c>
      <c r="BF699" t="e">
        <f t="shared" ca="1" si="40"/>
        <v>#VALUE!</v>
      </c>
    </row>
    <row r="700" spans="57:58" ht="12" customHeight="1">
      <c r="BE700" s="19">
        <f t="shared" si="41"/>
        <v>0.48333333333333178</v>
      </c>
      <c r="BF700" t="e">
        <f t="shared" ca="1" si="40"/>
        <v>#VALUE!</v>
      </c>
    </row>
    <row r="701" spans="57:58" ht="12" customHeight="1">
      <c r="BE701" s="19">
        <f t="shared" si="41"/>
        <v>0.48402777777777622</v>
      </c>
      <c r="BF701" t="e">
        <f t="shared" ca="1" si="40"/>
        <v>#VALUE!</v>
      </c>
    </row>
    <row r="702" spans="57:58" ht="12" customHeight="1">
      <c r="BE702" s="19">
        <f t="shared" si="41"/>
        <v>0.48472222222222067</v>
      </c>
      <c r="BF702" t="e">
        <f t="shared" ca="1" si="40"/>
        <v>#VALUE!</v>
      </c>
    </row>
    <row r="703" spans="57:58" ht="12" customHeight="1">
      <c r="BE703" s="19">
        <f t="shared" si="41"/>
        <v>0.48541666666666511</v>
      </c>
      <c r="BF703" t="e">
        <f t="shared" ca="1" si="40"/>
        <v>#VALUE!</v>
      </c>
    </row>
    <row r="704" spans="57:58" ht="12" customHeight="1">
      <c r="BE704" s="19">
        <f t="shared" si="41"/>
        <v>0.48611111111110955</v>
      </c>
      <c r="BF704" t="e">
        <f t="shared" ca="1" si="40"/>
        <v>#VALUE!</v>
      </c>
    </row>
    <row r="705" spans="57:58" ht="12" customHeight="1">
      <c r="BE705" s="19">
        <f t="shared" si="41"/>
        <v>0.48680555555555399</v>
      </c>
      <c r="BF705" t="e">
        <f t="shared" ca="1" si="40"/>
        <v>#VALUE!</v>
      </c>
    </row>
    <row r="706" spans="57:58" ht="12" customHeight="1">
      <c r="BE706" s="19">
        <f t="shared" si="41"/>
        <v>0.48749999999999843</v>
      </c>
      <c r="BF706" t="e">
        <f t="shared" ca="1" si="40"/>
        <v>#VALUE!</v>
      </c>
    </row>
    <row r="707" spans="57:58" ht="12" customHeight="1">
      <c r="BE707" s="19">
        <f t="shared" si="41"/>
        <v>0.48819444444444288</v>
      </c>
      <c r="BF707" t="e">
        <f t="shared" ca="1" si="40"/>
        <v>#VALUE!</v>
      </c>
    </row>
    <row r="708" spans="57:58" ht="12" customHeight="1">
      <c r="BE708" s="19">
        <f t="shared" si="41"/>
        <v>0.48888888888888732</v>
      </c>
      <c r="BF708" t="e">
        <f t="shared" ca="1" si="40"/>
        <v>#VALUE!</v>
      </c>
    </row>
    <row r="709" spans="57:58" ht="12" customHeight="1">
      <c r="BE709" s="19">
        <f t="shared" si="41"/>
        <v>0.48958333333333176</v>
      </c>
      <c r="BF709" t="e">
        <f t="shared" ref="BF709:BF772" ca="1" si="42">IF(BE709&lt;$B$5-1/1440,0,OFFSET($N$4,(BE709-$B$4)*1440,0,1,1))</f>
        <v>#VALUE!</v>
      </c>
    </row>
    <row r="710" spans="57:58" ht="12" customHeight="1">
      <c r="BE710" s="19">
        <f t="shared" ref="BE710:BE773" si="43">BE709+1/1440</f>
        <v>0.4902777777777762</v>
      </c>
      <c r="BF710" t="e">
        <f t="shared" ca="1" si="42"/>
        <v>#VALUE!</v>
      </c>
    </row>
    <row r="711" spans="57:58" ht="12" customHeight="1">
      <c r="BE711" s="19">
        <f t="shared" si="43"/>
        <v>0.49097222222222064</v>
      </c>
      <c r="BF711" t="e">
        <f t="shared" ca="1" si="42"/>
        <v>#VALUE!</v>
      </c>
    </row>
    <row r="712" spans="57:58" ht="12" customHeight="1">
      <c r="BE712" s="19">
        <f t="shared" si="43"/>
        <v>0.49166666666666509</v>
      </c>
      <c r="BF712" t="e">
        <f t="shared" ca="1" si="42"/>
        <v>#VALUE!</v>
      </c>
    </row>
    <row r="713" spans="57:58" ht="12" customHeight="1">
      <c r="BE713" s="19">
        <f t="shared" si="43"/>
        <v>0.49236111111110953</v>
      </c>
      <c r="BF713" t="e">
        <f t="shared" ca="1" si="42"/>
        <v>#VALUE!</v>
      </c>
    </row>
    <row r="714" spans="57:58" ht="12" customHeight="1">
      <c r="BE714" s="19">
        <f t="shared" si="43"/>
        <v>0.49305555555555397</v>
      </c>
      <c r="BF714" t="e">
        <f t="shared" ca="1" si="42"/>
        <v>#VALUE!</v>
      </c>
    </row>
    <row r="715" spans="57:58" ht="12" customHeight="1">
      <c r="BE715" s="19">
        <f t="shared" si="43"/>
        <v>0.49374999999999841</v>
      </c>
      <c r="BF715" t="e">
        <f t="shared" ca="1" si="42"/>
        <v>#VALUE!</v>
      </c>
    </row>
    <row r="716" spans="57:58" ht="12" customHeight="1">
      <c r="BE716" s="19">
        <f t="shared" si="43"/>
        <v>0.49444444444444285</v>
      </c>
      <c r="BF716" t="e">
        <f t="shared" ca="1" si="42"/>
        <v>#VALUE!</v>
      </c>
    </row>
    <row r="717" spans="57:58" ht="12" customHeight="1">
      <c r="BE717" s="19">
        <f t="shared" si="43"/>
        <v>0.4951388888888873</v>
      </c>
      <c r="BF717" t="e">
        <f t="shared" ca="1" si="42"/>
        <v>#VALUE!</v>
      </c>
    </row>
    <row r="718" spans="57:58" ht="12" customHeight="1">
      <c r="BE718" s="19">
        <f t="shared" si="43"/>
        <v>0.49583333333333174</v>
      </c>
      <c r="BF718" t="e">
        <f t="shared" ca="1" si="42"/>
        <v>#VALUE!</v>
      </c>
    </row>
    <row r="719" spans="57:58" ht="12" customHeight="1">
      <c r="BE719" s="19">
        <f t="shared" si="43"/>
        <v>0.49652777777777618</v>
      </c>
      <c r="BF719" t="e">
        <f t="shared" ca="1" si="42"/>
        <v>#VALUE!</v>
      </c>
    </row>
    <row r="720" spans="57:58" ht="12" customHeight="1">
      <c r="BE720" s="19">
        <f t="shared" si="43"/>
        <v>0.49722222222222062</v>
      </c>
      <c r="BF720" t="e">
        <f t="shared" ca="1" si="42"/>
        <v>#VALUE!</v>
      </c>
    </row>
    <row r="721" spans="57:58" ht="12" customHeight="1">
      <c r="BE721" s="19">
        <f t="shared" si="43"/>
        <v>0.49791666666666506</v>
      </c>
      <c r="BF721" t="e">
        <f t="shared" ca="1" si="42"/>
        <v>#VALUE!</v>
      </c>
    </row>
    <row r="722" spans="57:58" ht="12" customHeight="1">
      <c r="BE722" s="19">
        <f t="shared" si="43"/>
        <v>0.49861111111110951</v>
      </c>
      <c r="BF722" t="e">
        <f t="shared" ca="1" si="42"/>
        <v>#VALUE!</v>
      </c>
    </row>
    <row r="723" spans="57:58" ht="12" customHeight="1">
      <c r="BE723" s="19">
        <f t="shared" si="43"/>
        <v>0.49930555555555395</v>
      </c>
      <c r="BF723" t="e">
        <f t="shared" ca="1" si="42"/>
        <v>#VALUE!</v>
      </c>
    </row>
    <row r="724" spans="57:58" ht="12" customHeight="1">
      <c r="BE724" s="19">
        <f t="shared" si="43"/>
        <v>0.49999999999999839</v>
      </c>
      <c r="BF724" t="e">
        <f t="shared" ca="1" si="42"/>
        <v>#VALUE!</v>
      </c>
    </row>
    <row r="725" spans="57:58" ht="12" customHeight="1">
      <c r="BE725" s="19">
        <f t="shared" si="43"/>
        <v>0.50069444444444289</v>
      </c>
      <c r="BF725" t="e">
        <f t="shared" ca="1" si="42"/>
        <v>#VALUE!</v>
      </c>
    </row>
    <row r="726" spans="57:58" ht="12" customHeight="1">
      <c r="BE726" s="19">
        <f t="shared" si="43"/>
        <v>0.50138888888888733</v>
      </c>
      <c r="BF726" t="e">
        <f t="shared" ca="1" si="42"/>
        <v>#VALUE!</v>
      </c>
    </row>
    <row r="727" spans="57:58" ht="12" customHeight="1">
      <c r="BE727" s="19">
        <f t="shared" si="43"/>
        <v>0.50208333333333177</v>
      </c>
      <c r="BF727" t="e">
        <f t="shared" ca="1" si="42"/>
        <v>#VALUE!</v>
      </c>
    </row>
    <row r="728" spans="57:58" ht="12" customHeight="1">
      <c r="BE728" s="19">
        <f t="shared" si="43"/>
        <v>0.50277777777777621</v>
      </c>
      <c r="BF728" t="e">
        <f t="shared" ca="1" si="42"/>
        <v>#VALUE!</v>
      </c>
    </row>
    <row r="729" spans="57:58" ht="12" customHeight="1">
      <c r="BE729" s="19">
        <f t="shared" si="43"/>
        <v>0.50347222222222066</v>
      </c>
      <c r="BF729" t="e">
        <f t="shared" ca="1" si="42"/>
        <v>#VALUE!</v>
      </c>
    </row>
    <row r="730" spans="57:58" ht="12" customHeight="1">
      <c r="BE730" s="19">
        <f t="shared" si="43"/>
        <v>0.5041666666666651</v>
      </c>
      <c r="BF730" t="e">
        <f t="shared" ca="1" si="42"/>
        <v>#VALUE!</v>
      </c>
    </row>
    <row r="731" spans="57:58" ht="12" customHeight="1">
      <c r="BE731" s="19">
        <f t="shared" si="43"/>
        <v>0.50486111111110954</v>
      </c>
      <c r="BF731" t="e">
        <f t="shared" ca="1" si="42"/>
        <v>#VALUE!</v>
      </c>
    </row>
    <row r="732" spans="57:58" ht="12" customHeight="1">
      <c r="BE732" s="19">
        <f t="shared" si="43"/>
        <v>0.50555555555555398</v>
      </c>
      <c r="BF732" t="e">
        <f t="shared" ca="1" si="42"/>
        <v>#VALUE!</v>
      </c>
    </row>
    <row r="733" spans="57:58" ht="12" customHeight="1">
      <c r="BE733" s="19">
        <f t="shared" si="43"/>
        <v>0.50624999999999842</v>
      </c>
      <c r="BF733" t="e">
        <f t="shared" ca="1" si="42"/>
        <v>#VALUE!</v>
      </c>
    </row>
    <row r="734" spans="57:58" ht="12" customHeight="1">
      <c r="BE734" s="19">
        <f t="shared" si="43"/>
        <v>0.50694444444444287</v>
      </c>
      <c r="BF734" t="e">
        <f t="shared" ca="1" si="42"/>
        <v>#VALUE!</v>
      </c>
    </row>
    <row r="735" spans="57:58" ht="12" customHeight="1">
      <c r="BE735" s="19">
        <f t="shared" si="43"/>
        <v>0.50763888888888731</v>
      </c>
      <c r="BF735" t="e">
        <f t="shared" ca="1" si="42"/>
        <v>#VALUE!</v>
      </c>
    </row>
    <row r="736" spans="57:58" ht="12" customHeight="1">
      <c r="BE736" s="19">
        <f t="shared" si="43"/>
        <v>0.50833333333333175</v>
      </c>
      <c r="BF736" t="e">
        <f t="shared" ca="1" si="42"/>
        <v>#VALUE!</v>
      </c>
    </row>
    <row r="737" spans="57:58" ht="12" customHeight="1">
      <c r="BE737" s="19">
        <f t="shared" si="43"/>
        <v>0.50902777777777619</v>
      </c>
      <c r="BF737" t="e">
        <f t="shared" ca="1" si="42"/>
        <v>#VALUE!</v>
      </c>
    </row>
    <row r="738" spans="57:58" ht="12" customHeight="1">
      <c r="BE738" s="19">
        <f t="shared" si="43"/>
        <v>0.50972222222222063</v>
      </c>
      <c r="BF738" t="e">
        <f t="shared" ca="1" si="42"/>
        <v>#VALUE!</v>
      </c>
    </row>
    <row r="739" spans="57:58" ht="12" customHeight="1">
      <c r="BE739" s="19">
        <f t="shared" si="43"/>
        <v>0.51041666666666508</v>
      </c>
      <c r="BF739" t="e">
        <f t="shared" ca="1" si="42"/>
        <v>#VALUE!</v>
      </c>
    </row>
    <row r="740" spans="57:58">
      <c r="BE740" s="19">
        <f t="shared" si="43"/>
        <v>0.51111111111110952</v>
      </c>
      <c r="BF740" t="e">
        <f t="shared" ca="1" si="42"/>
        <v>#VALUE!</v>
      </c>
    </row>
    <row r="741" spans="57:58">
      <c r="BE741" s="19">
        <f t="shared" si="43"/>
        <v>0.51180555555555396</v>
      </c>
      <c r="BF741" t="e">
        <f t="shared" ca="1" si="42"/>
        <v>#VALUE!</v>
      </c>
    </row>
    <row r="742" spans="57:58">
      <c r="BE742" s="19">
        <f t="shared" si="43"/>
        <v>0.5124999999999984</v>
      </c>
      <c r="BF742" t="e">
        <f t="shared" ca="1" si="42"/>
        <v>#VALUE!</v>
      </c>
    </row>
    <row r="743" spans="57:58">
      <c r="BE743" s="19">
        <f t="shared" si="43"/>
        <v>0.51319444444444284</v>
      </c>
      <c r="BF743" t="e">
        <f t="shared" ca="1" si="42"/>
        <v>#VALUE!</v>
      </c>
    </row>
    <row r="744" spans="57:58">
      <c r="BE744" s="19">
        <f t="shared" si="43"/>
        <v>0.51388888888888729</v>
      </c>
      <c r="BF744" t="e">
        <f t="shared" ca="1" si="42"/>
        <v>#VALUE!</v>
      </c>
    </row>
    <row r="745" spans="57:58">
      <c r="BE745" s="19">
        <f t="shared" si="43"/>
        <v>0.51458333333333173</v>
      </c>
      <c r="BF745" t="e">
        <f t="shared" ca="1" si="42"/>
        <v>#VALUE!</v>
      </c>
    </row>
    <row r="746" spans="57:58">
      <c r="BE746" s="19">
        <f t="shared" si="43"/>
        <v>0.51527777777777617</v>
      </c>
      <c r="BF746" t="e">
        <f t="shared" ca="1" si="42"/>
        <v>#VALUE!</v>
      </c>
    </row>
    <row r="747" spans="57:58">
      <c r="BE747" s="19">
        <f t="shared" si="43"/>
        <v>0.51597222222222061</v>
      </c>
      <c r="BF747" t="e">
        <f t="shared" ca="1" si="42"/>
        <v>#VALUE!</v>
      </c>
    </row>
    <row r="748" spans="57:58">
      <c r="BE748" s="19">
        <f t="shared" si="43"/>
        <v>0.51666666666666505</v>
      </c>
      <c r="BF748" t="e">
        <f t="shared" ca="1" si="42"/>
        <v>#VALUE!</v>
      </c>
    </row>
    <row r="749" spans="57:58">
      <c r="BE749" s="19">
        <f t="shared" si="43"/>
        <v>0.5173611111111095</v>
      </c>
      <c r="BF749" t="e">
        <f t="shared" ca="1" si="42"/>
        <v>#VALUE!</v>
      </c>
    </row>
    <row r="750" spans="57:58">
      <c r="BE750" s="19">
        <f t="shared" si="43"/>
        <v>0.51805555555555394</v>
      </c>
      <c r="BF750" t="e">
        <f t="shared" ca="1" si="42"/>
        <v>#VALUE!</v>
      </c>
    </row>
    <row r="751" spans="57:58">
      <c r="BE751" s="19">
        <f t="shared" si="43"/>
        <v>0.51874999999999838</v>
      </c>
      <c r="BF751" t="e">
        <f t="shared" ca="1" si="42"/>
        <v>#VALUE!</v>
      </c>
    </row>
    <row r="752" spans="57:58">
      <c r="BE752" s="19">
        <f t="shared" si="43"/>
        <v>0.51944444444444282</v>
      </c>
      <c r="BF752" t="e">
        <f t="shared" ca="1" si="42"/>
        <v>#VALUE!</v>
      </c>
    </row>
    <row r="753" spans="57:58">
      <c r="BE753" s="19">
        <f t="shared" si="43"/>
        <v>0.52013888888888726</v>
      </c>
      <c r="BF753" t="e">
        <f t="shared" ca="1" si="42"/>
        <v>#VALUE!</v>
      </c>
    </row>
    <row r="754" spans="57:58">
      <c r="BE754" s="19">
        <f t="shared" si="43"/>
        <v>0.52083333333333171</v>
      </c>
      <c r="BF754" t="e">
        <f t="shared" ca="1" si="42"/>
        <v>#VALUE!</v>
      </c>
    </row>
    <row r="755" spans="57:58">
      <c r="BE755" s="19">
        <f t="shared" si="43"/>
        <v>0.52152777777777615</v>
      </c>
      <c r="BF755" t="e">
        <f t="shared" ca="1" si="42"/>
        <v>#VALUE!</v>
      </c>
    </row>
    <row r="756" spans="57:58">
      <c r="BE756" s="19">
        <f t="shared" si="43"/>
        <v>0.52222222222222059</v>
      </c>
      <c r="BF756" t="e">
        <f t="shared" ca="1" si="42"/>
        <v>#VALUE!</v>
      </c>
    </row>
    <row r="757" spans="57:58">
      <c r="BE757" s="19">
        <f t="shared" si="43"/>
        <v>0.52291666666666503</v>
      </c>
      <c r="BF757" t="e">
        <f t="shared" ca="1" si="42"/>
        <v>#VALUE!</v>
      </c>
    </row>
    <row r="758" spans="57:58">
      <c r="BE758" s="19">
        <f t="shared" si="43"/>
        <v>0.52361111111110947</v>
      </c>
      <c r="BF758" t="e">
        <f t="shared" ca="1" si="42"/>
        <v>#VALUE!</v>
      </c>
    </row>
    <row r="759" spans="57:58">
      <c r="BE759" s="19">
        <f t="shared" si="43"/>
        <v>0.52430555555555391</v>
      </c>
      <c r="BF759" t="e">
        <f t="shared" ca="1" si="42"/>
        <v>#VALUE!</v>
      </c>
    </row>
    <row r="760" spans="57:58">
      <c r="BE760" s="19">
        <f t="shared" si="43"/>
        <v>0.52499999999999836</v>
      </c>
      <c r="BF760" t="e">
        <f t="shared" ca="1" si="42"/>
        <v>#VALUE!</v>
      </c>
    </row>
    <row r="761" spans="57:58">
      <c r="BE761" s="19">
        <f t="shared" si="43"/>
        <v>0.5256944444444428</v>
      </c>
      <c r="BF761" t="e">
        <f t="shared" ca="1" si="42"/>
        <v>#VALUE!</v>
      </c>
    </row>
    <row r="762" spans="57:58">
      <c r="BE762" s="19">
        <f t="shared" si="43"/>
        <v>0.52638888888888724</v>
      </c>
      <c r="BF762" t="e">
        <f t="shared" ca="1" si="42"/>
        <v>#VALUE!</v>
      </c>
    </row>
    <row r="763" spans="57:58">
      <c r="BE763" s="19">
        <f t="shared" si="43"/>
        <v>0.52708333333333168</v>
      </c>
      <c r="BF763" t="e">
        <f t="shared" ca="1" si="42"/>
        <v>#VALUE!</v>
      </c>
    </row>
    <row r="764" spans="57:58">
      <c r="BE764" s="19">
        <f t="shared" si="43"/>
        <v>0.52777777777777612</v>
      </c>
      <c r="BF764" t="e">
        <f t="shared" ca="1" si="42"/>
        <v>#VALUE!</v>
      </c>
    </row>
    <row r="765" spans="57:58">
      <c r="BE765" s="19">
        <f t="shared" si="43"/>
        <v>0.52847222222222057</v>
      </c>
      <c r="BF765" t="e">
        <f t="shared" ca="1" si="42"/>
        <v>#VALUE!</v>
      </c>
    </row>
    <row r="766" spans="57:58">
      <c r="BE766" s="19">
        <f t="shared" si="43"/>
        <v>0.52916666666666501</v>
      </c>
      <c r="BF766" t="e">
        <f t="shared" ca="1" si="42"/>
        <v>#VALUE!</v>
      </c>
    </row>
    <row r="767" spans="57:58">
      <c r="BE767" s="19">
        <f t="shared" si="43"/>
        <v>0.52986111111110945</v>
      </c>
      <c r="BF767" t="e">
        <f t="shared" ca="1" si="42"/>
        <v>#VALUE!</v>
      </c>
    </row>
    <row r="768" spans="57:58">
      <c r="BE768" s="19">
        <f t="shared" si="43"/>
        <v>0.53055555555555389</v>
      </c>
      <c r="BF768" t="e">
        <f t="shared" ca="1" si="42"/>
        <v>#VALUE!</v>
      </c>
    </row>
    <row r="769" spans="57:58">
      <c r="BE769" s="19">
        <f t="shared" si="43"/>
        <v>0.53124999999999833</v>
      </c>
      <c r="BF769" t="e">
        <f t="shared" ca="1" si="42"/>
        <v>#VALUE!</v>
      </c>
    </row>
    <row r="770" spans="57:58">
      <c r="BE770" s="19">
        <f t="shared" si="43"/>
        <v>0.53194444444444278</v>
      </c>
      <c r="BF770" t="e">
        <f t="shared" ca="1" si="42"/>
        <v>#VALUE!</v>
      </c>
    </row>
    <row r="771" spans="57:58">
      <c r="BE771" s="19">
        <f t="shared" si="43"/>
        <v>0.53263888888888722</v>
      </c>
      <c r="BF771" t="e">
        <f t="shared" ca="1" si="42"/>
        <v>#VALUE!</v>
      </c>
    </row>
    <row r="772" spans="57:58">
      <c r="BE772" s="19">
        <f t="shared" si="43"/>
        <v>0.53333333333333166</v>
      </c>
      <c r="BF772" t="e">
        <f t="shared" ca="1" si="42"/>
        <v>#VALUE!</v>
      </c>
    </row>
    <row r="773" spans="57:58">
      <c r="BE773" s="19">
        <f t="shared" si="43"/>
        <v>0.5340277777777761</v>
      </c>
      <c r="BF773" t="e">
        <f t="shared" ref="BF773:BF836" ca="1" si="44">IF(BE773&lt;$B$5-1/1440,0,OFFSET($N$4,(BE773-$B$4)*1440,0,1,1))</f>
        <v>#VALUE!</v>
      </c>
    </row>
    <row r="774" spans="57:58">
      <c r="BE774" s="19">
        <f t="shared" ref="BE774:BE837" si="45">BE773+1/1440</f>
        <v>0.53472222222222054</v>
      </c>
      <c r="BF774" t="e">
        <f t="shared" ca="1" si="44"/>
        <v>#VALUE!</v>
      </c>
    </row>
    <row r="775" spans="57:58">
      <c r="BE775" s="19">
        <f t="shared" si="45"/>
        <v>0.53541666666666499</v>
      </c>
      <c r="BF775" t="e">
        <f t="shared" ca="1" si="44"/>
        <v>#VALUE!</v>
      </c>
    </row>
    <row r="776" spans="57:58">
      <c r="BE776" s="19">
        <f t="shared" si="45"/>
        <v>0.53611111111110943</v>
      </c>
      <c r="BF776" t="e">
        <f t="shared" ca="1" si="44"/>
        <v>#VALUE!</v>
      </c>
    </row>
    <row r="777" spans="57:58">
      <c r="BE777" s="19">
        <f t="shared" si="45"/>
        <v>0.53680555555555387</v>
      </c>
      <c r="BF777" t="e">
        <f t="shared" ca="1" si="44"/>
        <v>#VALUE!</v>
      </c>
    </row>
    <row r="778" spans="57:58">
      <c r="BE778" s="19">
        <f t="shared" si="45"/>
        <v>0.53749999999999831</v>
      </c>
      <c r="BF778" t="e">
        <f t="shared" ca="1" si="44"/>
        <v>#VALUE!</v>
      </c>
    </row>
    <row r="779" spans="57:58">
      <c r="BE779" s="19">
        <f t="shared" si="45"/>
        <v>0.53819444444444275</v>
      </c>
      <c r="BF779" t="e">
        <f t="shared" ca="1" si="44"/>
        <v>#VALUE!</v>
      </c>
    </row>
    <row r="780" spans="57:58">
      <c r="BE780" s="19">
        <f t="shared" si="45"/>
        <v>0.5388888888888872</v>
      </c>
      <c r="BF780" t="e">
        <f t="shared" ca="1" si="44"/>
        <v>#VALUE!</v>
      </c>
    </row>
    <row r="781" spans="57:58">
      <c r="BE781" s="19">
        <f t="shared" si="45"/>
        <v>0.53958333333333164</v>
      </c>
      <c r="BF781" t="e">
        <f t="shared" ca="1" si="44"/>
        <v>#VALUE!</v>
      </c>
    </row>
    <row r="782" spans="57:58">
      <c r="BE782" s="19">
        <f t="shared" si="45"/>
        <v>0.54027777777777608</v>
      </c>
      <c r="BF782" t="e">
        <f t="shared" ca="1" si="44"/>
        <v>#VALUE!</v>
      </c>
    </row>
    <row r="783" spans="57:58">
      <c r="BE783" s="19">
        <f t="shared" si="45"/>
        <v>0.54097222222222052</v>
      </c>
      <c r="BF783" t="e">
        <f t="shared" ca="1" si="44"/>
        <v>#VALUE!</v>
      </c>
    </row>
    <row r="784" spans="57:58">
      <c r="BE784" s="19">
        <f t="shared" si="45"/>
        <v>0.54166666666666496</v>
      </c>
      <c r="BF784" t="e">
        <f t="shared" ca="1" si="44"/>
        <v>#VALUE!</v>
      </c>
    </row>
    <row r="785" spans="57:58">
      <c r="BE785" s="19">
        <f t="shared" si="45"/>
        <v>0.54236111111110941</v>
      </c>
      <c r="BF785" t="e">
        <f t="shared" ca="1" si="44"/>
        <v>#VALUE!</v>
      </c>
    </row>
    <row r="786" spans="57:58">
      <c r="BE786" s="19">
        <f t="shared" si="45"/>
        <v>0.54305555555555385</v>
      </c>
      <c r="BF786" t="e">
        <f t="shared" ca="1" si="44"/>
        <v>#VALUE!</v>
      </c>
    </row>
    <row r="787" spans="57:58">
      <c r="BE787" s="19">
        <f t="shared" si="45"/>
        <v>0.54374999999999829</v>
      </c>
      <c r="BF787" t="e">
        <f t="shared" ca="1" si="44"/>
        <v>#VALUE!</v>
      </c>
    </row>
    <row r="788" spans="57:58">
      <c r="BE788" s="19">
        <f t="shared" si="45"/>
        <v>0.54444444444444273</v>
      </c>
      <c r="BF788" t="e">
        <f t="shared" ca="1" si="44"/>
        <v>#VALUE!</v>
      </c>
    </row>
    <row r="789" spans="57:58">
      <c r="BE789" s="19">
        <f t="shared" si="45"/>
        <v>0.54513888888888717</v>
      </c>
      <c r="BF789" t="e">
        <f t="shared" ca="1" si="44"/>
        <v>#VALUE!</v>
      </c>
    </row>
    <row r="790" spans="57:58">
      <c r="BE790" s="19">
        <f t="shared" si="45"/>
        <v>0.54583333333333162</v>
      </c>
      <c r="BF790" t="e">
        <f t="shared" ca="1" si="44"/>
        <v>#VALUE!</v>
      </c>
    </row>
    <row r="791" spans="57:58">
      <c r="BE791" s="19">
        <f t="shared" si="45"/>
        <v>0.54652777777777606</v>
      </c>
      <c r="BF791" t="e">
        <f t="shared" ca="1" si="44"/>
        <v>#VALUE!</v>
      </c>
    </row>
    <row r="792" spans="57:58">
      <c r="BE792" s="19">
        <f t="shared" si="45"/>
        <v>0.5472222222222205</v>
      </c>
      <c r="BF792" t="e">
        <f t="shared" ca="1" si="44"/>
        <v>#VALUE!</v>
      </c>
    </row>
    <row r="793" spans="57:58">
      <c r="BE793" s="19">
        <f t="shared" si="45"/>
        <v>0.54791666666666494</v>
      </c>
      <c r="BF793" t="e">
        <f t="shared" ca="1" si="44"/>
        <v>#VALUE!</v>
      </c>
    </row>
    <row r="794" spans="57:58">
      <c r="BE794" s="19">
        <f t="shared" si="45"/>
        <v>0.54861111111110938</v>
      </c>
      <c r="BF794" t="e">
        <f t="shared" ca="1" si="44"/>
        <v>#VALUE!</v>
      </c>
    </row>
    <row r="795" spans="57:58">
      <c r="BE795" s="19">
        <f t="shared" si="45"/>
        <v>0.54930555555555383</v>
      </c>
      <c r="BF795" t="e">
        <f t="shared" ca="1" si="44"/>
        <v>#VALUE!</v>
      </c>
    </row>
    <row r="796" spans="57:58">
      <c r="BE796" s="19">
        <f t="shared" si="45"/>
        <v>0.54999999999999827</v>
      </c>
      <c r="BF796" t="e">
        <f t="shared" ca="1" si="44"/>
        <v>#VALUE!</v>
      </c>
    </row>
    <row r="797" spans="57:58">
      <c r="BE797" s="19">
        <f t="shared" si="45"/>
        <v>0.55069444444444271</v>
      </c>
      <c r="BF797" t="e">
        <f t="shared" ca="1" si="44"/>
        <v>#VALUE!</v>
      </c>
    </row>
    <row r="798" spans="57:58">
      <c r="BE798" s="19">
        <f t="shared" si="45"/>
        <v>0.55138888888888715</v>
      </c>
      <c r="BF798" t="e">
        <f t="shared" ca="1" si="44"/>
        <v>#VALUE!</v>
      </c>
    </row>
    <row r="799" spans="57:58">
      <c r="BE799" s="19">
        <f t="shared" si="45"/>
        <v>0.55208333333333159</v>
      </c>
      <c r="BF799" t="e">
        <f t="shared" ca="1" si="44"/>
        <v>#VALUE!</v>
      </c>
    </row>
    <row r="800" spans="57:58">
      <c r="BE800" s="19">
        <f t="shared" si="45"/>
        <v>0.55277777777777604</v>
      </c>
      <c r="BF800" t="e">
        <f t="shared" ca="1" si="44"/>
        <v>#VALUE!</v>
      </c>
    </row>
    <row r="801" spans="57:58">
      <c r="BE801" s="19">
        <f t="shared" si="45"/>
        <v>0.55347222222222048</v>
      </c>
      <c r="BF801" t="e">
        <f t="shared" ca="1" si="44"/>
        <v>#VALUE!</v>
      </c>
    </row>
    <row r="802" spans="57:58">
      <c r="BE802" s="19">
        <f t="shared" si="45"/>
        <v>0.55416666666666492</v>
      </c>
      <c r="BF802" t="e">
        <f t="shared" ca="1" si="44"/>
        <v>#VALUE!</v>
      </c>
    </row>
    <row r="803" spans="57:58">
      <c r="BE803" s="19">
        <f t="shared" si="45"/>
        <v>0.55486111111110936</v>
      </c>
      <c r="BF803" t="e">
        <f t="shared" ca="1" si="44"/>
        <v>#VALUE!</v>
      </c>
    </row>
    <row r="804" spans="57:58">
      <c r="BE804" s="19">
        <f t="shared" si="45"/>
        <v>0.5555555555555538</v>
      </c>
      <c r="BF804" t="e">
        <f t="shared" ca="1" si="44"/>
        <v>#VALUE!</v>
      </c>
    </row>
    <row r="805" spans="57:58">
      <c r="BE805" s="19">
        <f t="shared" si="45"/>
        <v>0.55624999999999825</v>
      </c>
      <c r="BF805" t="e">
        <f t="shared" ca="1" si="44"/>
        <v>#VALUE!</v>
      </c>
    </row>
    <row r="806" spans="57:58">
      <c r="BE806" s="19">
        <f t="shared" si="45"/>
        <v>0.55694444444444269</v>
      </c>
      <c r="BF806" t="e">
        <f t="shared" ca="1" si="44"/>
        <v>#VALUE!</v>
      </c>
    </row>
    <row r="807" spans="57:58">
      <c r="BE807" s="19">
        <f t="shared" si="45"/>
        <v>0.55763888888888713</v>
      </c>
      <c r="BF807" t="e">
        <f t="shared" ca="1" si="44"/>
        <v>#VALUE!</v>
      </c>
    </row>
    <row r="808" spans="57:58">
      <c r="BE808" s="19">
        <f t="shared" si="45"/>
        <v>0.55833333333333157</v>
      </c>
      <c r="BF808" t="e">
        <f t="shared" ca="1" si="44"/>
        <v>#VALUE!</v>
      </c>
    </row>
    <row r="809" spans="57:58">
      <c r="BE809" s="19">
        <f t="shared" si="45"/>
        <v>0.55902777777777601</v>
      </c>
      <c r="BF809" t="e">
        <f t="shared" ca="1" si="44"/>
        <v>#VALUE!</v>
      </c>
    </row>
    <row r="810" spans="57:58">
      <c r="BE810" s="19">
        <f t="shared" si="45"/>
        <v>0.55972222222222046</v>
      </c>
      <c r="BF810" t="e">
        <f t="shared" ca="1" si="44"/>
        <v>#VALUE!</v>
      </c>
    </row>
    <row r="811" spans="57:58">
      <c r="BE811" s="19">
        <f t="shared" si="45"/>
        <v>0.5604166666666649</v>
      </c>
      <c r="BF811" t="e">
        <f t="shared" ca="1" si="44"/>
        <v>#VALUE!</v>
      </c>
    </row>
    <row r="812" spans="57:58">
      <c r="BE812" s="19">
        <f t="shared" si="45"/>
        <v>0.56111111111110934</v>
      </c>
      <c r="BF812" t="e">
        <f t="shared" ca="1" si="44"/>
        <v>#VALUE!</v>
      </c>
    </row>
    <row r="813" spans="57:58">
      <c r="BE813" s="19">
        <f t="shared" si="45"/>
        <v>0.56180555555555378</v>
      </c>
      <c r="BF813" t="e">
        <f t="shared" ca="1" si="44"/>
        <v>#VALUE!</v>
      </c>
    </row>
    <row r="814" spans="57:58">
      <c r="BE814" s="19">
        <f t="shared" si="45"/>
        <v>0.56249999999999822</v>
      </c>
      <c r="BF814" t="e">
        <f t="shared" ca="1" si="44"/>
        <v>#VALUE!</v>
      </c>
    </row>
    <row r="815" spans="57:58">
      <c r="BE815" s="19">
        <f t="shared" si="45"/>
        <v>0.56319444444444267</v>
      </c>
      <c r="BF815" t="e">
        <f t="shared" ca="1" si="44"/>
        <v>#VALUE!</v>
      </c>
    </row>
    <row r="816" spans="57:58">
      <c r="BE816" s="19">
        <f t="shared" si="45"/>
        <v>0.56388888888888711</v>
      </c>
      <c r="BF816" t="e">
        <f t="shared" ca="1" si="44"/>
        <v>#VALUE!</v>
      </c>
    </row>
    <row r="817" spans="57:58">
      <c r="BE817" s="19">
        <f t="shared" si="45"/>
        <v>0.56458333333333155</v>
      </c>
      <c r="BF817" t="e">
        <f t="shared" ca="1" si="44"/>
        <v>#VALUE!</v>
      </c>
    </row>
    <row r="818" spans="57:58">
      <c r="BE818" s="19">
        <f t="shared" si="45"/>
        <v>0.56527777777777599</v>
      </c>
      <c r="BF818" t="e">
        <f t="shared" ca="1" si="44"/>
        <v>#VALUE!</v>
      </c>
    </row>
    <row r="819" spans="57:58">
      <c r="BE819" s="19">
        <f t="shared" si="45"/>
        <v>0.56597222222222043</v>
      </c>
      <c r="BF819" t="e">
        <f t="shared" ca="1" si="44"/>
        <v>#VALUE!</v>
      </c>
    </row>
    <row r="820" spans="57:58">
      <c r="BE820" s="19">
        <f t="shared" si="45"/>
        <v>0.56666666666666488</v>
      </c>
      <c r="BF820" t="e">
        <f t="shared" ca="1" si="44"/>
        <v>#VALUE!</v>
      </c>
    </row>
    <row r="821" spans="57:58">
      <c r="BE821" s="19">
        <f t="shared" si="45"/>
        <v>0.56736111111110932</v>
      </c>
      <c r="BF821" t="e">
        <f t="shared" ca="1" si="44"/>
        <v>#VALUE!</v>
      </c>
    </row>
    <row r="822" spans="57:58">
      <c r="BE822" s="19">
        <f t="shared" si="45"/>
        <v>0.56805555555555376</v>
      </c>
      <c r="BF822" t="e">
        <f t="shared" ca="1" si="44"/>
        <v>#VALUE!</v>
      </c>
    </row>
    <row r="823" spans="57:58">
      <c r="BE823" s="19">
        <f t="shared" si="45"/>
        <v>0.5687499999999982</v>
      </c>
      <c r="BF823" t="e">
        <f t="shared" ca="1" si="44"/>
        <v>#VALUE!</v>
      </c>
    </row>
    <row r="824" spans="57:58">
      <c r="BE824" s="19">
        <f t="shared" si="45"/>
        <v>0.56944444444444264</v>
      </c>
      <c r="BF824" t="e">
        <f t="shared" ca="1" si="44"/>
        <v>#VALUE!</v>
      </c>
    </row>
    <row r="825" spans="57:58">
      <c r="BE825" s="19">
        <f t="shared" si="45"/>
        <v>0.57013888888888709</v>
      </c>
      <c r="BF825" t="e">
        <f t="shared" ca="1" si="44"/>
        <v>#VALUE!</v>
      </c>
    </row>
    <row r="826" spans="57:58">
      <c r="BE826" s="19">
        <f t="shared" si="45"/>
        <v>0.57083333333333153</v>
      </c>
      <c r="BF826" t="e">
        <f t="shared" ca="1" si="44"/>
        <v>#VALUE!</v>
      </c>
    </row>
    <row r="827" spans="57:58">
      <c r="BE827" s="19">
        <f t="shared" si="45"/>
        <v>0.57152777777777597</v>
      </c>
      <c r="BF827" t="e">
        <f t="shared" ca="1" si="44"/>
        <v>#VALUE!</v>
      </c>
    </row>
    <row r="828" spans="57:58">
      <c r="BE828" s="19">
        <f t="shared" si="45"/>
        <v>0.57222222222222041</v>
      </c>
      <c r="BF828" t="e">
        <f t="shared" ca="1" si="44"/>
        <v>#VALUE!</v>
      </c>
    </row>
    <row r="829" spans="57:58">
      <c r="BE829" s="19">
        <f t="shared" si="45"/>
        <v>0.57291666666666485</v>
      </c>
      <c r="BF829" t="e">
        <f t="shared" ca="1" si="44"/>
        <v>#VALUE!</v>
      </c>
    </row>
    <row r="830" spans="57:58">
      <c r="BE830" s="19">
        <f t="shared" si="45"/>
        <v>0.5736111111111093</v>
      </c>
      <c r="BF830" t="e">
        <f t="shared" ca="1" si="44"/>
        <v>#VALUE!</v>
      </c>
    </row>
    <row r="831" spans="57:58">
      <c r="BE831" s="19">
        <f t="shared" si="45"/>
        <v>0.57430555555555374</v>
      </c>
      <c r="BF831" t="e">
        <f t="shared" ca="1" si="44"/>
        <v>#VALUE!</v>
      </c>
    </row>
    <row r="832" spans="57:58">
      <c r="BE832" s="19">
        <f t="shared" si="45"/>
        <v>0.57499999999999818</v>
      </c>
      <c r="BF832" t="e">
        <f t="shared" ca="1" si="44"/>
        <v>#VALUE!</v>
      </c>
    </row>
    <row r="833" spans="57:58">
      <c r="BE833" s="19">
        <f t="shared" si="45"/>
        <v>0.57569444444444262</v>
      </c>
      <c r="BF833" t="e">
        <f t="shared" ca="1" si="44"/>
        <v>#VALUE!</v>
      </c>
    </row>
    <row r="834" spans="57:58">
      <c r="BE834" s="19">
        <f t="shared" si="45"/>
        <v>0.57638888888888706</v>
      </c>
      <c r="BF834" t="e">
        <f t="shared" ca="1" si="44"/>
        <v>#VALUE!</v>
      </c>
    </row>
    <row r="835" spans="57:58">
      <c r="BE835" s="19">
        <f t="shared" si="45"/>
        <v>0.57708333333333151</v>
      </c>
      <c r="BF835" t="e">
        <f t="shared" ca="1" si="44"/>
        <v>#VALUE!</v>
      </c>
    </row>
    <row r="836" spans="57:58">
      <c r="BE836" s="19">
        <f t="shared" si="45"/>
        <v>0.57777777777777595</v>
      </c>
      <c r="BF836" t="e">
        <f t="shared" ca="1" si="44"/>
        <v>#VALUE!</v>
      </c>
    </row>
    <row r="837" spans="57:58">
      <c r="BE837" s="19">
        <f t="shared" si="45"/>
        <v>0.57847222222222039</v>
      </c>
      <c r="BF837" t="e">
        <f t="shared" ref="BF837:BF900" ca="1" si="46">IF(BE837&lt;$B$5-1/1440,0,OFFSET($N$4,(BE837-$B$4)*1440,0,1,1))</f>
        <v>#VALUE!</v>
      </c>
    </row>
    <row r="838" spans="57:58">
      <c r="BE838" s="19">
        <f t="shared" ref="BE838:BE901" si="47">BE837+1/1440</f>
        <v>0.57916666666666483</v>
      </c>
      <c r="BF838" t="e">
        <f t="shared" ca="1" si="46"/>
        <v>#VALUE!</v>
      </c>
    </row>
    <row r="839" spans="57:58">
      <c r="BE839" s="19">
        <f t="shared" si="47"/>
        <v>0.57986111111110927</v>
      </c>
      <c r="BF839" t="e">
        <f t="shared" ca="1" si="46"/>
        <v>#VALUE!</v>
      </c>
    </row>
    <row r="840" spans="57:58">
      <c r="BE840" s="19">
        <f t="shared" si="47"/>
        <v>0.58055555555555372</v>
      </c>
      <c r="BF840" t="e">
        <f t="shared" ca="1" si="46"/>
        <v>#VALUE!</v>
      </c>
    </row>
    <row r="841" spans="57:58">
      <c r="BE841" s="19">
        <f t="shared" si="47"/>
        <v>0.58124999999999816</v>
      </c>
      <c r="BF841" t="e">
        <f t="shared" ca="1" si="46"/>
        <v>#VALUE!</v>
      </c>
    </row>
    <row r="842" spans="57:58">
      <c r="BE842" s="19">
        <f t="shared" si="47"/>
        <v>0.5819444444444426</v>
      </c>
      <c r="BF842" t="e">
        <f t="shared" ca="1" si="46"/>
        <v>#VALUE!</v>
      </c>
    </row>
    <row r="843" spans="57:58">
      <c r="BE843" s="19">
        <f t="shared" si="47"/>
        <v>0.58263888888888704</v>
      </c>
      <c r="BF843" t="e">
        <f t="shared" ca="1" si="46"/>
        <v>#VALUE!</v>
      </c>
    </row>
    <row r="844" spans="57:58">
      <c r="BE844" s="19">
        <f t="shared" si="47"/>
        <v>0.58333333333333148</v>
      </c>
      <c r="BF844" t="e">
        <f t="shared" ca="1" si="46"/>
        <v>#VALUE!</v>
      </c>
    </row>
    <row r="845" spans="57:58">
      <c r="BE845" s="19">
        <f t="shared" si="47"/>
        <v>0.58402777777777592</v>
      </c>
      <c r="BF845" t="e">
        <f t="shared" ca="1" si="46"/>
        <v>#VALUE!</v>
      </c>
    </row>
    <row r="846" spans="57:58">
      <c r="BE846" s="19">
        <f t="shared" si="47"/>
        <v>0.58472222222222037</v>
      </c>
      <c r="BF846" t="e">
        <f t="shared" ca="1" si="46"/>
        <v>#VALUE!</v>
      </c>
    </row>
    <row r="847" spans="57:58">
      <c r="BE847" s="19">
        <f t="shared" si="47"/>
        <v>0.58541666666666481</v>
      </c>
      <c r="BF847" t="e">
        <f t="shared" ca="1" si="46"/>
        <v>#VALUE!</v>
      </c>
    </row>
    <row r="848" spans="57:58">
      <c r="BE848" s="19">
        <f t="shared" si="47"/>
        <v>0.58611111111110925</v>
      </c>
      <c r="BF848" t="e">
        <f t="shared" ca="1" si="46"/>
        <v>#VALUE!</v>
      </c>
    </row>
    <row r="849" spans="57:58">
      <c r="BE849" s="19">
        <f t="shared" si="47"/>
        <v>0.58680555555555369</v>
      </c>
      <c r="BF849" t="e">
        <f t="shared" ca="1" si="46"/>
        <v>#VALUE!</v>
      </c>
    </row>
    <row r="850" spans="57:58">
      <c r="BE850" s="19">
        <f t="shared" si="47"/>
        <v>0.58749999999999813</v>
      </c>
      <c r="BF850" t="e">
        <f t="shared" ca="1" si="46"/>
        <v>#VALUE!</v>
      </c>
    </row>
    <row r="851" spans="57:58">
      <c r="BE851" s="19">
        <f t="shared" si="47"/>
        <v>0.58819444444444258</v>
      </c>
      <c r="BF851" t="e">
        <f t="shared" ca="1" si="46"/>
        <v>#VALUE!</v>
      </c>
    </row>
    <row r="852" spans="57:58">
      <c r="BE852" s="19">
        <f t="shared" si="47"/>
        <v>0.58888888888888702</v>
      </c>
      <c r="BF852" t="e">
        <f t="shared" ca="1" si="46"/>
        <v>#VALUE!</v>
      </c>
    </row>
    <row r="853" spans="57:58">
      <c r="BE853" s="19">
        <f t="shared" si="47"/>
        <v>0.58958333333333146</v>
      </c>
      <c r="BF853" t="e">
        <f t="shared" ca="1" si="46"/>
        <v>#VALUE!</v>
      </c>
    </row>
    <row r="854" spans="57:58">
      <c r="BE854" s="19">
        <f t="shared" si="47"/>
        <v>0.5902777777777759</v>
      </c>
      <c r="BF854" t="e">
        <f t="shared" ca="1" si="46"/>
        <v>#VALUE!</v>
      </c>
    </row>
    <row r="855" spans="57:58">
      <c r="BE855" s="19">
        <f t="shared" si="47"/>
        <v>0.59097222222222034</v>
      </c>
      <c r="BF855" t="e">
        <f t="shared" ca="1" si="46"/>
        <v>#VALUE!</v>
      </c>
    </row>
    <row r="856" spans="57:58">
      <c r="BE856" s="19">
        <f t="shared" si="47"/>
        <v>0.59166666666666479</v>
      </c>
      <c r="BF856" t="e">
        <f t="shared" ca="1" si="46"/>
        <v>#VALUE!</v>
      </c>
    </row>
    <row r="857" spans="57:58">
      <c r="BE857" s="19">
        <f t="shared" si="47"/>
        <v>0.59236111111110923</v>
      </c>
      <c r="BF857" t="e">
        <f t="shared" ca="1" si="46"/>
        <v>#VALUE!</v>
      </c>
    </row>
    <row r="858" spans="57:58">
      <c r="BE858" s="19">
        <f t="shared" si="47"/>
        <v>0.59305555555555367</v>
      </c>
      <c r="BF858" t="e">
        <f t="shared" ca="1" si="46"/>
        <v>#VALUE!</v>
      </c>
    </row>
    <row r="859" spans="57:58">
      <c r="BE859" s="19">
        <f t="shared" si="47"/>
        <v>0.59374999999999811</v>
      </c>
      <c r="BF859" t="e">
        <f t="shared" ca="1" si="46"/>
        <v>#VALUE!</v>
      </c>
    </row>
    <row r="860" spans="57:58">
      <c r="BE860" s="19">
        <f t="shared" si="47"/>
        <v>0.59444444444444255</v>
      </c>
      <c r="BF860" t="e">
        <f t="shared" ca="1" si="46"/>
        <v>#VALUE!</v>
      </c>
    </row>
    <row r="861" spans="57:58">
      <c r="BE861" s="19">
        <f t="shared" si="47"/>
        <v>0.595138888888887</v>
      </c>
      <c r="BF861" t="e">
        <f t="shared" ca="1" si="46"/>
        <v>#VALUE!</v>
      </c>
    </row>
    <row r="862" spans="57:58">
      <c r="BE862" s="19">
        <f t="shared" si="47"/>
        <v>0.59583333333333144</v>
      </c>
      <c r="BF862" t="e">
        <f t="shared" ca="1" si="46"/>
        <v>#VALUE!</v>
      </c>
    </row>
    <row r="863" spans="57:58">
      <c r="BE863" s="19">
        <f t="shared" si="47"/>
        <v>0.59652777777777588</v>
      </c>
      <c r="BF863" t="e">
        <f t="shared" ca="1" si="46"/>
        <v>#VALUE!</v>
      </c>
    </row>
    <row r="864" spans="57:58">
      <c r="BE864" s="19">
        <f t="shared" si="47"/>
        <v>0.59722222222222032</v>
      </c>
      <c r="BF864" t="e">
        <f t="shared" ca="1" si="46"/>
        <v>#VALUE!</v>
      </c>
    </row>
    <row r="865" spans="57:58">
      <c r="BE865" s="19">
        <f t="shared" si="47"/>
        <v>0.59791666666666476</v>
      </c>
      <c r="BF865" t="e">
        <f t="shared" ca="1" si="46"/>
        <v>#VALUE!</v>
      </c>
    </row>
    <row r="866" spans="57:58">
      <c r="BE866" s="19">
        <f t="shared" si="47"/>
        <v>0.59861111111110921</v>
      </c>
      <c r="BF866" t="e">
        <f t="shared" ca="1" si="46"/>
        <v>#VALUE!</v>
      </c>
    </row>
    <row r="867" spans="57:58">
      <c r="BE867" s="19">
        <f t="shared" si="47"/>
        <v>0.59930555555555365</v>
      </c>
      <c r="BF867" t="e">
        <f t="shared" ca="1" si="46"/>
        <v>#VALUE!</v>
      </c>
    </row>
    <row r="868" spans="57:58">
      <c r="BE868" s="19">
        <f t="shared" si="47"/>
        <v>0.59999999999999809</v>
      </c>
      <c r="BF868" t="e">
        <f t="shared" ca="1" si="46"/>
        <v>#VALUE!</v>
      </c>
    </row>
    <row r="869" spans="57:58">
      <c r="BE869" s="19">
        <f t="shared" si="47"/>
        <v>0.60069444444444253</v>
      </c>
      <c r="BF869" t="e">
        <f t="shared" ca="1" si="46"/>
        <v>#VALUE!</v>
      </c>
    </row>
    <row r="870" spans="57:58">
      <c r="BE870" s="19">
        <f t="shared" si="47"/>
        <v>0.60138888888888697</v>
      </c>
      <c r="BF870" t="e">
        <f t="shared" ca="1" si="46"/>
        <v>#VALUE!</v>
      </c>
    </row>
    <row r="871" spans="57:58">
      <c r="BE871" s="19">
        <f t="shared" si="47"/>
        <v>0.60208333333333142</v>
      </c>
      <c r="BF871" t="e">
        <f t="shared" ca="1" si="46"/>
        <v>#VALUE!</v>
      </c>
    </row>
    <row r="872" spans="57:58">
      <c r="BE872" s="19">
        <f t="shared" si="47"/>
        <v>0.60277777777777586</v>
      </c>
      <c r="BF872" t="e">
        <f t="shared" ca="1" si="46"/>
        <v>#VALUE!</v>
      </c>
    </row>
    <row r="873" spans="57:58">
      <c r="BE873" s="19">
        <f t="shared" si="47"/>
        <v>0.6034722222222203</v>
      </c>
      <c r="BF873" t="e">
        <f t="shared" ca="1" si="46"/>
        <v>#VALUE!</v>
      </c>
    </row>
    <row r="874" spans="57:58">
      <c r="BE874" s="19">
        <f t="shared" si="47"/>
        <v>0.60416666666666474</v>
      </c>
      <c r="BF874" t="e">
        <f t="shared" ca="1" si="46"/>
        <v>#VALUE!</v>
      </c>
    </row>
    <row r="875" spans="57:58">
      <c r="BE875" s="19">
        <f t="shared" si="47"/>
        <v>0.60486111111110918</v>
      </c>
      <c r="BF875" t="e">
        <f t="shared" ca="1" si="46"/>
        <v>#VALUE!</v>
      </c>
    </row>
    <row r="876" spans="57:58">
      <c r="BE876" s="19">
        <f t="shared" si="47"/>
        <v>0.60555555555555363</v>
      </c>
      <c r="BF876" t="e">
        <f t="shared" ca="1" si="46"/>
        <v>#VALUE!</v>
      </c>
    </row>
    <row r="877" spans="57:58">
      <c r="BE877" s="19">
        <f t="shared" si="47"/>
        <v>0.60624999999999807</v>
      </c>
      <c r="BF877" t="e">
        <f t="shared" ca="1" si="46"/>
        <v>#VALUE!</v>
      </c>
    </row>
    <row r="878" spans="57:58">
      <c r="BE878" s="19">
        <f t="shared" si="47"/>
        <v>0.60694444444444251</v>
      </c>
      <c r="BF878" t="e">
        <f t="shared" ca="1" si="46"/>
        <v>#VALUE!</v>
      </c>
    </row>
    <row r="879" spans="57:58">
      <c r="BE879" s="19">
        <f t="shared" si="47"/>
        <v>0.60763888888888695</v>
      </c>
      <c r="BF879" t="e">
        <f t="shared" ca="1" si="46"/>
        <v>#VALUE!</v>
      </c>
    </row>
    <row r="880" spans="57:58">
      <c r="BE880" s="19">
        <f t="shared" si="47"/>
        <v>0.60833333333333139</v>
      </c>
      <c r="BF880" t="e">
        <f t="shared" ca="1" si="46"/>
        <v>#VALUE!</v>
      </c>
    </row>
    <row r="881" spans="57:58">
      <c r="BE881" s="19">
        <f t="shared" si="47"/>
        <v>0.60902777777777584</v>
      </c>
      <c r="BF881" t="e">
        <f t="shared" ca="1" si="46"/>
        <v>#VALUE!</v>
      </c>
    </row>
    <row r="882" spans="57:58">
      <c r="BE882" s="19">
        <f t="shared" si="47"/>
        <v>0.60972222222222028</v>
      </c>
      <c r="BF882" t="e">
        <f t="shared" ca="1" si="46"/>
        <v>#VALUE!</v>
      </c>
    </row>
    <row r="883" spans="57:58">
      <c r="BE883" s="19">
        <f t="shared" si="47"/>
        <v>0.61041666666666472</v>
      </c>
      <c r="BF883" t="e">
        <f t="shared" ca="1" si="46"/>
        <v>#VALUE!</v>
      </c>
    </row>
    <row r="884" spans="57:58">
      <c r="BE884" s="19">
        <f t="shared" si="47"/>
        <v>0.61111111111110916</v>
      </c>
      <c r="BF884" t="e">
        <f t="shared" ca="1" si="46"/>
        <v>#VALUE!</v>
      </c>
    </row>
    <row r="885" spans="57:58">
      <c r="BE885" s="19">
        <f t="shared" si="47"/>
        <v>0.6118055555555536</v>
      </c>
      <c r="BF885" t="e">
        <f t="shared" ca="1" si="46"/>
        <v>#VALUE!</v>
      </c>
    </row>
    <row r="886" spans="57:58">
      <c r="BE886" s="19">
        <f t="shared" si="47"/>
        <v>0.61249999999999805</v>
      </c>
      <c r="BF886" t="e">
        <f t="shared" ca="1" si="46"/>
        <v>#VALUE!</v>
      </c>
    </row>
    <row r="887" spans="57:58">
      <c r="BE887" s="19">
        <f t="shared" si="47"/>
        <v>0.61319444444444249</v>
      </c>
      <c r="BF887" t="e">
        <f t="shared" ca="1" si="46"/>
        <v>#VALUE!</v>
      </c>
    </row>
    <row r="888" spans="57:58">
      <c r="BE888" s="19">
        <f t="shared" si="47"/>
        <v>0.61388888888888693</v>
      </c>
      <c r="BF888" t="e">
        <f t="shared" ca="1" si="46"/>
        <v>#VALUE!</v>
      </c>
    </row>
    <row r="889" spans="57:58">
      <c r="BE889" s="19">
        <f t="shared" si="47"/>
        <v>0.61458333333333137</v>
      </c>
      <c r="BF889" t="e">
        <f t="shared" ca="1" si="46"/>
        <v>#VALUE!</v>
      </c>
    </row>
    <row r="890" spans="57:58">
      <c r="BE890" s="19">
        <f t="shared" si="47"/>
        <v>0.61527777777777581</v>
      </c>
      <c r="BF890" t="e">
        <f t="shared" ca="1" si="46"/>
        <v>#VALUE!</v>
      </c>
    </row>
    <row r="891" spans="57:58">
      <c r="BE891" s="19">
        <f t="shared" si="47"/>
        <v>0.61597222222222026</v>
      </c>
      <c r="BF891" t="e">
        <f t="shared" ca="1" si="46"/>
        <v>#VALUE!</v>
      </c>
    </row>
    <row r="892" spans="57:58">
      <c r="BE892" s="19">
        <f t="shared" si="47"/>
        <v>0.6166666666666647</v>
      </c>
      <c r="BF892" t="e">
        <f t="shared" ca="1" si="46"/>
        <v>#VALUE!</v>
      </c>
    </row>
    <row r="893" spans="57:58">
      <c r="BE893" s="19">
        <f t="shared" si="47"/>
        <v>0.61736111111110914</v>
      </c>
      <c r="BF893" t="e">
        <f t="shared" ca="1" si="46"/>
        <v>#VALUE!</v>
      </c>
    </row>
    <row r="894" spans="57:58">
      <c r="BE894" s="19">
        <f t="shared" si="47"/>
        <v>0.61805555555555358</v>
      </c>
      <c r="BF894" t="e">
        <f t="shared" ca="1" si="46"/>
        <v>#VALUE!</v>
      </c>
    </row>
    <row r="895" spans="57:58">
      <c r="BE895" s="19">
        <f t="shared" si="47"/>
        <v>0.61874999999999802</v>
      </c>
      <c r="BF895" t="e">
        <f t="shared" ca="1" si="46"/>
        <v>#VALUE!</v>
      </c>
    </row>
    <row r="896" spans="57:58">
      <c r="BE896" s="19">
        <f t="shared" si="47"/>
        <v>0.61944444444444247</v>
      </c>
      <c r="BF896" t="e">
        <f t="shared" ca="1" si="46"/>
        <v>#VALUE!</v>
      </c>
    </row>
    <row r="897" spans="57:58">
      <c r="BE897" s="19">
        <f t="shared" si="47"/>
        <v>0.62013888888888691</v>
      </c>
      <c r="BF897" t="e">
        <f t="shared" ca="1" si="46"/>
        <v>#VALUE!</v>
      </c>
    </row>
    <row r="898" spans="57:58">
      <c r="BE898" s="19">
        <f t="shared" si="47"/>
        <v>0.62083333333333135</v>
      </c>
      <c r="BF898" t="e">
        <f t="shared" ca="1" si="46"/>
        <v>#VALUE!</v>
      </c>
    </row>
    <row r="899" spans="57:58">
      <c r="BE899" s="19">
        <f t="shared" si="47"/>
        <v>0.62152777777777579</v>
      </c>
      <c r="BF899" t="e">
        <f t="shared" ca="1" si="46"/>
        <v>#VALUE!</v>
      </c>
    </row>
    <row r="900" spans="57:58">
      <c r="BE900" s="19">
        <f t="shared" si="47"/>
        <v>0.62222222222222023</v>
      </c>
      <c r="BF900" t="e">
        <f t="shared" ca="1" si="46"/>
        <v>#VALUE!</v>
      </c>
    </row>
    <row r="901" spans="57:58">
      <c r="BE901" s="19">
        <f t="shared" si="47"/>
        <v>0.62291666666666468</v>
      </c>
      <c r="BF901" t="e">
        <f t="shared" ref="BF901:BF964" ca="1" si="48">IF(BE901&lt;$B$5-1/1440,0,OFFSET($N$4,(BE901-$B$4)*1440,0,1,1))</f>
        <v>#VALUE!</v>
      </c>
    </row>
    <row r="902" spans="57:58">
      <c r="BE902" s="19">
        <f t="shared" ref="BE902:BE965" si="49">BE901+1/1440</f>
        <v>0.62361111111110912</v>
      </c>
      <c r="BF902" t="e">
        <f t="shared" ca="1" si="48"/>
        <v>#VALUE!</v>
      </c>
    </row>
    <row r="903" spans="57:58">
      <c r="BE903" s="19">
        <f t="shared" si="49"/>
        <v>0.62430555555555356</v>
      </c>
      <c r="BF903" t="e">
        <f t="shared" ca="1" si="48"/>
        <v>#VALUE!</v>
      </c>
    </row>
    <row r="904" spans="57:58">
      <c r="BE904" s="19">
        <f t="shared" si="49"/>
        <v>0.624999999999998</v>
      </c>
      <c r="BF904" t="e">
        <f t="shared" ca="1" si="48"/>
        <v>#VALUE!</v>
      </c>
    </row>
    <row r="905" spans="57:58">
      <c r="BE905" s="19">
        <f t="shared" si="49"/>
        <v>0.62569444444444244</v>
      </c>
      <c r="BF905" t="e">
        <f t="shared" ca="1" si="48"/>
        <v>#VALUE!</v>
      </c>
    </row>
    <row r="906" spans="57:58">
      <c r="BE906" s="19">
        <f t="shared" si="49"/>
        <v>0.62638888888888689</v>
      </c>
      <c r="BF906" t="e">
        <f t="shared" ca="1" si="48"/>
        <v>#VALUE!</v>
      </c>
    </row>
    <row r="907" spans="57:58">
      <c r="BE907" s="19">
        <f t="shared" si="49"/>
        <v>0.62708333333333133</v>
      </c>
      <c r="BF907" t="e">
        <f t="shared" ca="1" si="48"/>
        <v>#VALUE!</v>
      </c>
    </row>
    <row r="908" spans="57:58">
      <c r="BE908" s="19">
        <f t="shared" si="49"/>
        <v>0.62777777777777577</v>
      </c>
      <c r="BF908" t="e">
        <f t="shared" ca="1" si="48"/>
        <v>#VALUE!</v>
      </c>
    </row>
    <row r="909" spans="57:58">
      <c r="BE909" s="19">
        <f t="shared" si="49"/>
        <v>0.62847222222222021</v>
      </c>
      <c r="BF909" t="e">
        <f t="shared" ca="1" si="48"/>
        <v>#VALUE!</v>
      </c>
    </row>
    <row r="910" spans="57:58">
      <c r="BE910" s="19">
        <f t="shared" si="49"/>
        <v>0.62916666666666465</v>
      </c>
      <c r="BF910" t="e">
        <f t="shared" ca="1" si="48"/>
        <v>#VALUE!</v>
      </c>
    </row>
    <row r="911" spans="57:58">
      <c r="BE911" s="19">
        <f t="shared" si="49"/>
        <v>0.6298611111111091</v>
      </c>
      <c r="BF911" t="e">
        <f t="shared" ca="1" si="48"/>
        <v>#VALUE!</v>
      </c>
    </row>
    <row r="912" spans="57:58">
      <c r="BE912" s="19">
        <f t="shared" si="49"/>
        <v>0.63055555555555354</v>
      </c>
      <c r="BF912" t="e">
        <f t="shared" ca="1" si="48"/>
        <v>#VALUE!</v>
      </c>
    </row>
    <row r="913" spans="57:58">
      <c r="BE913" s="19">
        <f t="shared" si="49"/>
        <v>0.63124999999999798</v>
      </c>
      <c r="BF913" t="e">
        <f t="shared" ca="1" si="48"/>
        <v>#VALUE!</v>
      </c>
    </row>
    <row r="914" spans="57:58">
      <c r="BE914" s="19">
        <f t="shared" si="49"/>
        <v>0.63194444444444242</v>
      </c>
      <c r="BF914" t="e">
        <f t="shared" ca="1" si="48"/>
        <v>#VALUE!</v>
      </c>
    </row>
    <row r="915" spans="57:58">
      <c r="BE915" s="19">
        <f t="shared" si="49"/>
        <v>0.63263888888888686</v>
      </c>
      <c r="BF915" t="e">
        <f t="shared" ca="1" si="48"/>
        <v>#VALUE!</v>
      </c>
    </row>
    <row r="916" spans="57:58">
      <c r="BE916" s="19">
        <f t="shared" si="49"/>
        <v>0.63333333333333131</v>
      </c>
      <c r="BF916" t="e">
        <f t="shared" ca="1" si="48"/>
        <v>#VALUE!</v>
      </c>
    </row>
    <row r="917" spans="57:58">
      <c r="BE917" s="19">
        <f t="shared" si="49"/>
        <v>0.63402777777777575</v>
      </c>
      <c r="BF917" t="e">
        <f t="shared" ca="1" si="48"/>
        <v>#VALUE!</v>
      </c>
    </row>
    <row r="918" spans="57:58">
      <c r="BE918" s="19">
        <f t="shared" si="49"/>
        <v>0.63472222222222019</v>
      </c>
      <c r="BF918" t="e">
        <f t="shared" ca="1" si="48"/>
        <v>#VALUE!</v>
      </c>
    </row>
    <row r="919" spans="57:58">
      <c r="BE919" s="19">
        <f t="shared" si="49"/>
        <v>0.63541666666666463</v>
      </c>
      <c r="BF919" t="e">
        <f t="shared" ca="1" si="48"/>
        <v>#VALUE!</v>
      </c>
    </row>
    <row r="920" spans="57:58">
      <c r="BE920" s="19">
        <f t="shared" si="49"/>
        <v>0.63611111111110907</v>
      </c>
      <c r="BF920" t="e">
        <f t="shared" ca="1" si="48"/>
        <v>#VALUE!</v>
      </c>
    </row>
    <row r="921" spans="57:58">
      <c r="BE921" s="19">
        <f t="shared" si="49"/>
        <v>0.63680555555555352</v>
      </c>
      <c r="BF921" t="e">
        <f t="shared" ca="1" si="48"/>
        <v>#VALUE!</v>
      </c>
    </row>
    <row r="922" spans="57:58">
      <c r="BE922" s="19">
        <f t="shared" si="49"/>
        <v>0.63749999999999796</v>
      </c>
      <c r="BF922" t="e">
        <f t="shared" ca="1" si="48"/>
        <v>#VALUE!</v>
      </c>
    </row>
    <row r="923" spans="57:58">
      <c r="BE923" s="19">
        <f t="shared" si="49"/>
        <v>0.6381944444444424</v>
      </c>
      <c r="BF923" t="e">
        <f t="shared" ca="1" si="48"/>
        <v>#VALUE!</v>
      </c>
    </row>
    <row r="924" spans="57:58">
      <c r="BE924" s="19">
        <f t="shared" si="49"/>
        <v>0.63888888888888684</v>
      </c>
      <c r="BF924" t="e">
        <f t="shared" ca="1" si="48"/>
        <v>#VALUE!</v>
      </c>
    </row>
    <row r="925" spans="57:58">
      <c r="BE925" s="19">
        <f t="shared" si="49"/>
        <v>0.63958333333333128</v>
      </c>
      <c r="BF925" t="e">
        <f t="shared" ca="1" si="48"/>
        <v>#VALUE!</v>
      </c>
    </row>
    <row r="926" spans="57:58">
      <c r="BE926" s="19">
        <f t="shared" si="49"/>
        <v>0.64027777777777573</v>
      </c>
      <c r="BF926" t="e">
        <f t="shared" ca="1" si="48"/>
        <v>#VALUE!</v>
      </c>
    </row>
    <row r="927" spans="57:58">
      <c r="BE927" s="19">
        <f t="shared" si="49"/>
        <v>0.64097222222222017</v>
      </c>
      <c r="BF927" t="e">
        <f t="shared" ca="1" si="48"/>
        <v>#VALUE!</v>
      </c>
    </row>
    <row r="928" spans="57:58">
      <c r="BE928" s="19">
        <f t="shared" si="49"/>
        <v>0.64166666666666461</v>
      </c>
      <c r="BF928" t="e">
        <f t="shared" ca="1" si="48"/>
        <v>#VALUE!</v>
      </c>
    </row>
    <row r="929" spans="57:58">
      <c r="BE929" s="19">
        <f t="shared" si="49"/>
        <v>0.64236111111110905</v>
      </c>
      <c r="BF929" t="e">
        <f t="shared" ca="1" si="48"/>
        <v>#VALUE!</v>
      </c>
    </row>
    <row r="930" spans="57:58">
      <c r="BE930" s="19">
        <f t="shared" si="49"/>
        <v>0.64305555555555349</v>
      </c>
      <c r="BF930" t="e">
        <f t="shared" ca="1" si="48"/>
        <v>#VALUE!</v>
      </c>
    </row>
    <row r="931" spans="57:58">
      <c r="BE931" s="19">
        <f t="shared" si="49"/>
        <v>0.64374999999999793</v>
      </c>
      <c r="BF931" t="e">
        <f t="shared" ca="1" si="48"/>
        <v>#VALUE!</v>
      </c>
    </row>
    <row r="932" spans="57:58">
      <c r="BE932" s="19">
        <f t="shared" si="49"/>
        <v>0.64444444444444238</v>
      </c>
      <c r="BF932" t="e">
        <f t="shared" ca="1" si="48"/>
        <v>#VALUE!</v>
      </c>
    </row>
    <row r="933" spans="57:58">
      <c r="BE933" s="19">
        <f t="shared" si="49"/>
        <v>0.64513888888888682</v>
      </c>
      <c r="BF933" t="e">
        <f t="shared" ca="1" si="48"/>
        <v>#VALUE!</v>
      </c>
    </row>
    <row r="934" spans="57:58">
      <c r="BE934" s="19">
        <f t="shared" si="49"/>
        <v>0.64583333333333126</v>
      </c>
      <c r="BF934" t="e">
        <f t="shared" ca="1" si="48"/>
        <v>#VALUE!</v>
      </c>
    </row>
    <row r="935" spans="57:58">
      <c r="BE935" s="19">
        <f t="shared" si="49"/>
        <v>0.6465277777777757</v>
      </c>
      <c r="BF935" t="e">
        <f t="shared" ca="1" si="48"/>
        <v>#VALUE!</v>
      </c>
    </row>
    <row r="936" spans="57:58">
      <c r="BE936" s="19">
        <f t="shared" si="49"/>
        <v>0.64722222222222014</v>
      </c>
      <c r="BF936" t="e">
        <f t="shared" ca="1" si="48"/>
        <v>#VALUE!</v>
      </c>
    </row>
    <row r="937" spans="57:58">
      <c r="BE937" s="19">
        <f t="shared" si="49"/>
        <v>0.64791666666666459</v>
      </c>
      <c r="BF937" t="e">
        <f t="shared" ca="1" si="48"/>
        <v>#VALUE!</v>
      </c>
    </row>
    <row r="938" spans="57:58">
      <c r="BE938" s="19">
        <f t="shared" si="49"/>
        <v>0.64861111111110903</v>
      </c>
      <c r="BF938" t="e">
        <f t="shared" ca="1" si="48"/>
        <v>#VALUE!</v>
      </c>
    </row>
    <row r="939" spans="57:58">
      <c r="BE939" s="19">
        <f t="shared" si="49"/>
        <v>0.64930555555555347</v>
      </c>
      <c r="BF939" t="e">
        <f t="shared" ca="1" si="48"/>
        <v>#VALUE!</v>
      </c>
    </row>
    <row r="940" spans="57:58">
      <c r="BE940" s="19">
        <f t="shared" si="49"/>
        <v>0.64999999999999791</v>
      </c>
      <c r="BF940" t="e">
        <f t="shared" ca="1" si="48"/>
        <v>#VALUE!</v>
      </c>
    </row>
    <row r="941" spans="57:58">
      <c r="BE941" s="19">
        <f t="shared" si="49"/>
        <v>0.65069444444444235</v>
      </c>
      <c r="BF941" t="e">
        <f t="shared" ca="1" si="48"/>
        <v>#VALUE!</v>
      </c>
    </row>
    <row r="942" spans="57:58">
      <c r="BE942" s="19">
        <f t="shared" si="49"/>
        <v>0.6513888888888868</v>
      </c>
      <c r="BF942" t="e">
        <f t="shared" ca="1" si="48"/>
        <v>#VALUE!</v>
      </c>
    </row>
    <row r="943" spans="57:58">
      <c r="BE943" s="19">
        <f t="shared" si="49"/>
        <v>0.65208333333333124</v>
      </c>
      <c r="BF943" t="e">
        <f t="shared" ca="1" si="48"/>
        <v>#VALUE!</v>
      </c>
    </row>
    <row r="944" spans="57:58">
      <c r="BE944" s="19">
        <f t="shared" si="49"/>
        <v>0.65277777777777568</v>
      </c>
      <c r="BF944" t="e">
        <f t="shared" ca="1" si="48"/>
        <v>#VALUE!</v>
      </c>
    </row>
    <row r="945" spans="57:58">
      <c r="BE945" s="19">
        <f t="shared" si="49"/>
        <v>0.65347222222222012</v>
      </c>
      <c r="BF945" t="e">
        <f t="shared" ca="1" si="48"/>
        <v>#VALUE!</v>
      </c>
    </row>
    <row r="946" spans="57:58">
      <c r="BE946" s="19">
        <f t="shared" si="49"/>
        <v>0.65416666666666456</v>
      </c>
      <c r="BF946" t="e">
        <f t="shared" ca="1" si="48"/>
        <v>#VALUE!</v>
      </c>
    </row>
    <row r="947" spans="57:58">
      <c r="BE947" s="19">
        <f t="shared" si="49"/>
        <v>0.65486111111110901</v>
      </c>
      <c r="BF947" t="e">
        <f t="shared" ca="1" si="48"/>
        <v>#VALUE!</v>
      </c>
    </row>
    <row r="948" spans="57:58">
      <c r="BE948" s="19">
        <f t="shared" si="49"/>
        <v>0.65555555555555345</v>
      </c>
      <c r="BF948" t="e">
        <f t="shared" ca="1" si="48"/>
        <v>#VALUE!</v>
      </c>
    </row>
    <row r="949" spans="57:58">
      <c r="BE949" s="19">
        <f t="shared" si="49"/>
        <v>0.65624999999999789</v>
      </c>
      <c r="BF949" t="e">
        <f t="shared" ca="1" si="48"/>
        <v>#VALUE!</v>
      </c>
    </row>
    <row r="950" spans="57:58">
      <c r="BE950" s="19">
        <f t="shared" si="49"/>
        <v>0.65694444444444233</v>
      </c>
      <c r="BF950" t="e">
        <f t="shared" ca="1" si="48"/>
        <v>#VALUE!</v>
      </c>
    </row>
    <row r="951" spans="57:58">
      <c r="BE951" s="19">
        <f t="shared" si="49"/>
        <v>0.65763888888888677</v>
      </c>
      <c r="BF951" t="e">
        <f t="shared" ca="1" si="48"/>
        <v>#VALUE!</v>
      </c>
    </row>
    <row r="952" spans="57:58">
      <c r="BE952" s="19">
        <f t="shared" si="49"/>
        <v>0.65833333333333122</v>
      </c>
      <c r="BF952" t="e">
        <f t="shared" ca="1" si="48"/>
        <v>#VALUE!</v>
      </c>
    </row>
    <row r="953" spans="57:58">
      <c r="BE953" s="19">
        <f t="shared" si="49"/>
        <v>0.65902777777777566</v>
      </c>
      <c r="BF953" t="e">
        <f t="shared" ca="1" si="48"/>
        <v>#VALUE!</v>
      </c>
    </row>
    <row r="954" spans="57:58">
      <c r="BE954" s="19">
        <f t="shared" si="49"/>
        <v>0.6597222222222201</v>
      </c>
      <c r="BF954" t="e">
        <f t="shared" ca="1" si="48"/>
        <v>#VALUE!</v>
      </c>
    </row>
    <row r="955" spans="57:58">
      <c r="BE955" s="19">
        <f t="shared" si="49"/>
        <v>0.66041666666666454</v>
      </c>
      <c r="BF955" t="e">
        <f t="shared" ca="1" si="48"/>
        <v>#VALUE!</v>
      </c>
    </row>
    <row r="956" spans="57:58">
      <c r="BE956" s="19">
        <f t="shared" si="49"/>
        <v>0.66111111111110898</v>
      </c>
      <c r="BF956" t="e">
        <f t="shared" ca="1" si="48"/>
        <v>#VALUE!</v>
      </c>
    </row>
    <row r="957" spans="57:58">
      <c r="BE957" s="19">
        <f t="shared" si="49"/>
        <v>0.66180555555555343</v>
      </c>
      <c r="BF957" t="e">
        <f t="shared" ca="1" si="48"/>
        <v>#VALUE!</v>
      </c>
    </row>
    <row r="958" spans="57:58">
      <c r="BE958" s="19">
        <f t="shared" si="49"/>
        <v>0.66249999999999787</v>
      </c>
      <c r="BF958" t="e">
        <f t="shared" ca="1" si="48"/>
        <v>#VALUE!</v>
      </c>
    </row>
    <row r="959" spans="57:58">
      <c r="BE959" s="19">
        <f t="shared" si="49"/>
        <v>0.66319444444444231</v>
      </c>
      <c r="BF959" t="e">
        <f t="shared" ca="1" si="48"/>
        <v>#VALUE!</v>
      </c>
    </row>
    <row r="960" spans="57:58">
      <c r="BE960" s="19">
        <f t="shared" si="49"/>
        <v>0.66388888888888675</v>
      </c>
      <c r="BF960" t="e">
        <f t="shared" ca="1" si="48"/>
        <v>#VALUE!</v>
      </c>
    </row>
    <row r="961" spans="57:58">
      <c r="BE961" s="19">
        <f t="shared" si="49"/>
        <v>0.66458333333333119</v>
      </c>
      <c r="BF961" t="e">
        <f t="shared" ca="1" si="48"/>
        <v>#VALUE!</v>
      </c>
    </row>
    <row r="962" spans="57:58">
      <c r="BE962" s="19">
        <f t="shared" si="49"/>
        <v>0.66527777777777564</v>
      </c>
      <c r="BF962" t="e">
        <f t="shared" ca="1" si="48"/>
        <v>#VALUE!</v>
      </c>
    </row>
    <row r="963" spans="57:58">
      <c r="BE963" s="19">
        <f t="shared" si="49"/>
        <v>0.66597222222222008</v>
      </c>
      <c r="BF963" t="e">
        <f t="shared" ca="1" si="48"/>
        <v>#VALUE!</v>
      </c>
    </row>
    <row r="964" spans="57:58">
      <c r="BE964" s="19">
        <f t="shared" si="49"/>
        <v>0.66666666666666452</v>
      </c>
      <c r="BF964" t="e">
        <f t="shared" ca="1" si="48"/>
        <v>#VALUE!</v>
      </c>
    </row>
    <row r="965" spans="57:58">
      <c r="BE965" s="19">
        <f t="shared" si="49"/>
        <v>0.66736111111110896</v>
      </c>
      <c r="BF965" t="e">
        <f t="shared" ref="BF965:BF1028" ca="1" si="50">IF(BE965&lt;$B$5-1/1440,0,OFFSET($N$4,(BE965-$B$4)*1440,0,1,1))</f>
        <v>#VALUE!</v>
      </c>
    </row>
    <row r="966" spans="57:58">
      <c r="BE966" s="19">
        <f t="shared" ref="BE966:BE1029" si="51">BE965+1/1440</f>
        <v>0.6680555555555534</v>
      </c>
      <c r="BF966" t="e">
        <f t="shared" ca="1" si="50"/>
        <v>#VALUE!</v>
      </c>
    </row>
    <row r="967" spans="57:58">
      <c r="BE967" s="19">
        <f t="shared" si="51"/>
        <v>0.66874999999999785</v>
      </c>
      <c r="BF967" t="e">
        <f t="shared" ca="1" si="50"/>
        <v>#VALUE!</v>
      </c>
    </row>
    <row r="968" spans="57:58">
      <c r="BE968" s="19">
        <f t="shared" si="51"/>
        <v>0.66944444444444229</v>
      </c>
      <c r="BF968" t="e">
        <f t="shared" ca="1" si="50"/>
        <v>#VALUE!</v>
      </c>
    </row>
    <row r="969" spans="57:58">
      <c r="BE969" s="19">
        <f t="shared" si="51"/>
        <v>0.67013888888888673</v>
      </c>
      <c r="BF969" t="e">
        <f t="shared" ca="1" si="50"/>
        <v>#VALUE!</v>
      </c>
    </row>
    <row r="970" spans="57:58">
      <c r="BE970" s="19">
        <f t="shared" si="51"/>
        <v>0.67083333333333117</v>
      </c>
      <c r="BF970" t="e">
        <f t="shared" ca="1" si="50"/>
        <v>#VALUE!</v>
      </c>
    </row>
    <row r="971" spans="57:58">
      <c r="BE971" s="19">
        <f t="shared" si="51"/>
        <v>0.67152777777777561</v>
      </c>
      <c r="BF971" t="e">
        <f t="shared" ca="1" si="50"/>
        <v>#VALUE!</v>
      </c>
    </row>
    <row r="972" spans="57:58">
      <c r="BE972" s="19">
        <f t="shared" si="51"/>
        <v>0.67222222222222006</v>
      </c>
      <c r="BF972" t="e">
        <f t="shared" ca="1" si="50"/>
        <v>#VALUE!</v>
      </c>
    </row>
    <row r="973" spans="57:58">
      <c r="BE973" s="19">
        <f t="shared" si="51"/>
        <v>0.6729166666666645</v>
      </c>
      <c r="BF973" t="e">
        <f t="shared" ca="1" si="50"/>
        <v>#VALUE!</v>
      </c>
    </row>
    <row r="974" spans="57:58">
      <c r="BE974" s="19">
        <f t="shared" si="51"/>
        <v>0.67361111111110894</v>
      </c>
      <c r="BF974" t="e">
        <f t="shared" ca="1" si="50"/>
        <v>#VALUE!</v>
      </c>
    </row>
    <row r="975" spans="57:58">
      <c r="BE975" s="19">
        <f t="shared" si="51"/>
        <v>0.67430555555555338</v>
      </c>
      <c r="BF975" t="e">
        <f t="shared" ca="1" si="50"/>
        <v>#VALUE!</v>
      </c>
    </row>
    <row r="976" spans="57:58">
      <c r="BE976" s="19">
        <f t="shared" si="51"/>
        <v>0.67499999999999782</v>
      </c>
      <c r="BF976" t="e">
        <f t="shared" ca="1" si="50"/>
        <v>#VALUE!</v>
      </c>
    </row>
    <row r="977" spans="57:58">
      <c r="BE977" s="19">
        <f t="shared" si="51"/>
        <v>0.67569444444444227</v>
      </c>
      <c r="BF977" t="e">
        <f t="shared" ca="1" si="50"/>
        <v>#VALUE!</v>
      </c>
    </row>
    <row r="978" spans="57:58">
      <c r="BE978" s="19">
        <f t="shared" si="51"/>
        <v>0.67638888888888671</v>
      </c>
      <c r="BF978" t="e">
        <f t="shared" ca="1" si="50"/>
        <v>#VALUE!</v>
      </c>
    </row>
    <row r="979" spans="57:58">
      <c r="BE979" s="19">
        <f t="shared" si="51"/>
        <v>0.67708333333333115</v>
      </c>
      <c r="BF979" t="e">
        <f t="shared" ca="1" si="50"/>
        <v>#VALUE!</v>
      </c>
    </row>
    <row r="980" spans="57:58">
      <c r="BE980" s="19">
        <f t="shared" si="51"/>
        <v>0.67777777777777559</v>
      </c>
      <c r="BF980" t="e">
        <f t="shared" ca="1" si="50"/>
        <v>#VALUE!</v>
      </c>
    </row>
    <row r="981" spans="57:58">
      <c r="BE981" s="19">
        <f t="shared" si="51"/>
        <v>0.67847222222222003</v>
      </c>
      <c r="BF981" t="e">
        <f t="shared" ca="1" si="50"/>
        <v>#VALUE!</v>
      </c>
    </row>
    <row r="982" spans="57:58">
      <c r="BE982" s="19">
        <f t="shared" si="51"/>
        <v>0.67916666666666448</v>
      </c>
      <c r="BF982" t="e">
        <f t="shared" ca="1" si="50"/>
        <v>#VALUE!</v>
      </c>
    </row>
    <row r="983" spans="57:58">
      <c r="BE983" s="19">
        <f t="shared" si="51"/>
        <v>0.67986111111110892</v>
      </c>
      <c r="BF983" t="e">
        <f t="shared" ca="1" si="50"/>
        <v>#VALUE!</v>
      </c>
    </row>
    <row r="984" spans="57:58">
      <c r="BE984" s="19">
        <f t="shared" si="51"/>
        <v>0.68055555555555336</v>
      </c>
      <c r="BF984" t="e">
        <f t="shared" ca="1" si="50"/>
        <v>#VALUE!</v>
      </c>
    </row>
    <row r="985" spans="57:58">
      <c r="BE985" s="19">
        <f t="shared" si="51"/>
        <v>0.6812499999999978</v>
      </c>
      <c r="BF985" t="e">
        <f t="shared" ca="1" si="50"/>
        <v>#VALUE!</v>
      </c>
    </row>
    <row r="986" spans="57:58">
      <c r="BE986" s="19">
        <f t="shared" si="51"/>
        <v>0.68194444444444224</v>
      </c>
      <c r="BF986" t="e">
        <f t="shared" ca="1" si="50"/>
        <v>#VALUE!</v>
      </c>
    </row>
    <row r="987" spans="57:58">
      <c r="BE987" s="19">
        <f t="shared" si="51"/>
        <v>0.68263888888888669</v>
      </c>
      <c r="BF987" t="e">
        <f t="shared" ca="1" si="50"/>
        <v>#VALUE!</v>
      </c>
    </row>
    <row r="988" spans="57:58">
      <c r="BE988" s="19">
        <f t="shared" si="51"/>
        <v>0.68333333333333113</v>
      </c>
      <c r="BF988" t="e">
        <f t="shared" ca="1" si="50"/>
        <v>#VALUE!</v>
      </c>
    </row>
    <row r="989" spans="57:58">
      <c r="BE989" s="19">
        <f t="shared" si="51"/>
        <v>0.68402777777777557</v>
      </c>
      <c r="BF989" t="e">
        <f t="shared" ca="1" si="50"/>
        <v>#VALUE!</v>
      </c>
    </row>
    <row r="990" spans="57:58">
      <c r="BE990" s="19">
        <f t="shared" si="51"/>
        <v>0.68472222222222001</v>
      </c>
      <c r="BF990" t="e">
        <f t="shared" ca="1" si="50"/>
        <v>#VALUE!</v>
      </c>
    </row>
    <row r="991" spans="57:58">
      <c r="BE991" s="19">
        <f t="shared" si="51"/>
        <v>0.68541666666666445</v>
      </c>
      <c r="BF991" t="e">
        <f t="shared" ca="1" si="50"/>
        <v>#VALUE!</v>
      </c>
    </row>
    <row r="992" spans="57:58">
      <c r="BE992" s="19">
        <f t="shared" si="51"/>
        <v>0.6861111111111089</v>
      </c>
      <c r="BF992" t="e">
        <f t="shared" ca="1" si="50"/>
        <v>#VALUE!</v>
      </c>
    </row>
    <row r="993" spans="57:58">
      <c r="BE993" s="19">
        <f t="shared" si="51"/>
        <v>0.68680555555555334</v>
      </c>
      <c r="BF993" t="e">
        <f t="shared" ca="1" si="50"/>
        <v>#VALUE!</v>
      </c>
    </row>
    <row r="994" spans="57:58">
      <c r="BE994" s="19">
        <f t="shared" si="51"/>
        <v>0.68749999999999778</v>
      </c>
      <c r="BF994" t="e">
        <f t="shared" ca="1" si="50"/>
        <v>#VALUE!</v>
      </c>
    </row>
    <row r="995" spans="57:58">
      <c r="BE995" s="19">
        <f t="shared" si="51"/>
        <v>0.68819444444444222</v>
      </c>
      <c r="BF995" t="e">
        <f t="shared" ca="1" si="50"/>
        <v>#VALUE!</v>
      </c>
    </row>
    <row r="996" spans="57:58">
      <c r="BE996" s="19">
        <f t="shared" si="51"/>
        <v>0.68888888888888666</v>
      </c>
      <c r="BF996" t="e">
        <f t="shared" ca="1" si="50"/>
        <v>#VALUE!</v>
      </c>
    </row>
    <row r="997" spans="57:58">
      <c r="BE997" s="19">
        <f t="shared" si="51"/>
        <v>0.68958333333333111</v>
      </c>
      <c r="BF997" t="e">
        <f t="shared" ca="1" si="50"/>
        <v>#VALUE!</v>
      </c>
    </row>
    <row r="998" spans="57:58">
      <c r="BE998" s="19">
        <f t="shared" si="51"/>
        <v>0.69027777777777555</v>
      </c>
      <c r="BF998" t="e">
        <f t="shared" ca="1" si="50"/>
        <v>#VALUE!</v>
      </c>
    </row>
    <row r="999" spans="57:58">
      <c r="BE999" s="19">
        <f t="shared" si="51"/>
        <v>0.69097222222221999</v>
      </c>
      <c r="BF999" t="e">
        <f t="shared" ca="1" si="50"/>
        <v>#VALUE!</v>
      </c>
    </row>
    <row r="1000" spans="57:58">
      <c r="BE1000" s="19">
        <f t="shared" si="51"/>
        <v>0.69166666666666443</v>
      </c>
      <c r="BF1000" t="e">
        <f t="shared" ca="1" si="50"/>
        <v>#VALUE!</v>
      </c>
    </row>
    <row r="1001" spans="57:58">
      <c r="BE1001" s="19">
        <f t="shared" si="51"/>
        <v>0.69236111111110887</v>
      </c>
      <c r="BF1001" t="e">
        <f t="shared" ca="1" si="50"/>
        <v>#VALUE!</v>
      </c>
    </row>
    <row r="1002" spans="57:58">
      <c r="BE1002" s="19">
        <f t="shared" si="51"/>
        <v>0.69305555555555332</v>
      </c>
      <c r="BF1002" t="e">
        <f t="shared" ca="1" si="50"/>
        <v>#VALUE!</v>
      </c>
    </row>
    <row r="1003" spans="57:58">
      <c r="BE1003" s="19">
        <f t="shared" si="51"/>
        <v>0.69374999999999776</v>
      </c>
      <c r="BF1003" t="e">
        <f t="shared" ca="1" si="50"/>
        <v>#VALUE!</v>
      </c>
    </row>
    <row r="1004" spans="57:58">
      <c r="BE1004" s="19">
        <f t="shared" si="51"/>
        <v>0.6944444444444422</v>
      </c>
      <c r="BF1004" t="e">
        <f t="shared" ca="1" si="50"/>
        <v>#VALUE!</v>
      </c>
    </row>
    <row r="1005" spans="57:58">
      <c r="BE1005" s="19">
        <f t="shared" si="51"/>
        <v>0.69513888888888664</v>
      </c>
      <c r="BF1005" t="e">
        <f t="shared" ca="1" si="50"/>
        <v>#VALUE!</v>
      </c>
    </row>
    <row r="1006" spans="57:58">
      <c r="BE1006" s="19">
        <f t="shared" si="51"/>
        <v>0.69583333333333108</v>
      </c>
      <c r="BF1006" t="e">
        <f t="shared" ca="1" si="50"/>
        <v>#VALUE!</v>
      </c>
    </row>
    <row r="1007" spans="57:58">
      <c r="BE1007" s="19">
        <f t="shared" si="51"/>
        <v>0.69652777777777553</v>
      </c>
      <c r="BF1007" t="e">
        <f t="shared" ca="1" si="50"/>
        <v>#VALUE!</v>
      </c>
    </row>
    <row r="1008" spans="57:58">
      <c r="BE1008" s="19">
        <f t="shared" si="51"/>
        <v>0.69722222222221997</v>
      </c>
      <c r="BF1008" t="e">
        <f t="shared" ca="1" si="50"/>
        <v>#VALUE!</v>
      </c>
    </row>
    <row r="1009" spans="57:58">
      <c r="BE1009" s="19">
        <f t="shared" si="51"/>
        <v>0.69791666666666441</v>
      </c>
      <c r="BF1009" t="e">
        <f t="shared" ca="1" si="50"/>
        <v>#VALUE!</v>
      </c>
    </row>
    <row r="1010" spans="57:58">
      <c r="BE1010" s="19">
        <f t="shared" si="51"/>
        <v>0.69861111111110885</v>
      </c>
      <c r="BF1010" t="e">
        <f t="shared" ca="1" si="50"/>
        <v>#VALUE!</v>
      </c>
    </row>
    <row r="1011" spans="57:58">
      <c r="BE1011" s="19">
        <f t="shared" si="51"/>
        <v>0.69930555555555329</v>
      </c>
      <c r="BF1011" t="e">
        <f t="shared" ca="1" si="50"/>
        <v>#VALUE!</v>
      </c>
    </row>
    <row r="1012" spans="57:58">
      <c r="BE1012" s="19">
        <f t="shared" si="51"/>
        <v>0.69999999999999774</v>
      </c>
      <c r="BF1012" t="e">
        <f t="shared" ca="1" si="50"/>
        <v>#VALUE!</v>
      </c>
    </row>
    <row r="1013" spans="57:58">
      <c r="BE1013" s="19">
        <f t="shared" si="51"/>
        <v>0.70069444444444218</v>
      </c>
      <c r="BF1013" t="e">
        <f t="shared" ca="1" si="50"/>
        <v>#VALUE!</v>
      </c>
    </row>
    <row r="1014" spans="57:58">
      <c r="BE1014" s="19">
        <f t="shared" si="51"/>
        <v>0.70138888888888662</v>
      </c>
      <c r="BF1014" t="e">
        <f t="shared" ca="1" si="50"/>
        <v>#VALUE!</v>
      </c>
    </row>
    <row r="1015" spans="57:58">
      <c r="BE1015" s="19">
        <f t="shared" si="51"/>
        <v>0.70208333333333106</v>
      </c>
      <c r="BF1015" t="e">
        <f t="shared" ca="1" si="50"/>
        <v>#VALUE!</v>
      </c>
    </row>
    <row r="1016" spans="57:58">
      <c r="BE1016" s="19">
        <f t="shared" si="51"/>
        <v>0.7027777777777755</v>
      </c>
      <c r="BF1016" t="e">
        <f t="shared" ca="1" si="50"/>
        <v>#VALUE!</v>
      </c>
    </row>
    <row r="1017" spans="57:58">
      <c r="BE1017" s="19">
        <f t="shared" si="51"/>
        <v>0.70347222222221995</v>
      </c>
      <c r="BF1017" t="e">
        <f t="shared" ca="1" si="50"/>
        <v>#VALUE!</v>
      </c>
    </row>
    <row r="1018" spans="57:58">
      <c r="BE1018" s="19">
        <f t="shared" si="51"/>
        <v>0.70416666666666439</v>
      </c>
      <c r="BF1018" t="e">
        <f t="shared" ca="1" si="50"/>
        <v>#VALUE!</v>
      </c>
    </row>
    <row r="1019" spans="57:58">
      <c r="BE1019" s="19">
        <f t="shared" si="51"/>
        <v>0.70486111111110883</v>
      </c>
      <c r="BF1019" t="e">
        <f t="shared" ca="1" si="50"/>
        <v>#VALUE!</v>
      </c>
    </row>
    <row r="1020" spans="57:58">
      <c r="BE1020" s="19">
        <f t="shared" si="51"/>
        <v>0.70555555555555327</v>
      </c>
      <c r="BF1020" t="e">
        <f t="shared" ca="1" si="50"/>
        <v>#VALUE!</v>
      </c>
    </row>
    <row r="1021" spans="57:58">
      <c r="BE1021" s="19">
        <f t="shared" si="51"/>
        <v>0.70624999999999771</v>
      </c>
      <c r="BF1021" t="e">
        <f t="shared" ca="1" si="50"/>
        <v>#VALUE!</v>
      </c>
    </row>
    <row r="1022" spans="57:58">
      <c r="BE1022" s="19">
        <f t="shared" si="51"/>
        <v>0.70694444444444215</v>
      </c>
      <c r="BF1022" t="e">
        <f t="shared" ca="1" si="50"/>
        <v>#VALUE!</v>
      </c>
    </row>
    <row r="1023" spans="57:58">
      <c r="BE1023" s="19">
        <f t="shared" si="51"/>
        <v>0.7076388888888866</v>
      </c>
      <c r="BF1023" t="e">
        <f t="shared" ca="1" si="50"/>
        <v>#VALUE!</v>
      </c>
    </row>
    <row r="1024" spans="57:58">
      <c r="BE1024" s="19">
        <f t="shared" si="51"/>
        <v>0.70833333333333104</v>
      </c>
      <c r="BF1024" t="e">
        <f t="shared" ca="1" si="50"/>
        <v>#VALUE!</v>
      </c>
    </row>
    <row r="1025" spans="57:58">
      <c r="BE1025" s="19">
        <f t="shared" si="51"/>
        <v>0.70902777777777548</v>
      </c>
      <c r="BF1025" t="e">
        <f t="shared" ca="1" si="50"/>
        <v>#VALUE!</v>
      </c>
    </row>
    <row r="1026" spans="57:58">
      <c r="BE1026" s="19">
        <f t="shared" si="51"/>
        <v>0.70972222222221992</v>
      </c>
      <c r="BF1026" t="e">
        <f t="shared" ca="1" si="50"/>
        <v>#VALUE!</v>
      </c>
    </row>
    <row r="1027" spans="57:58">
      <c r="BE1027" s="19">
        <f t="shared" si="51"/>
        <v>0.71041666666666436</v>
      </c>
      <c r="BF1027" t="e">
        <f t="shared" ca="1" si="50"/>
        <v>#VALUE!</v>
      </c>
    </row>
    <row r="1028" spans="57:58">
      <c r="BE1028" s="19">
        <f t="shared" si="51"/>
        <v>0.71111111111110881</v>
      </c>
      <c r="BF1028" t="e">
        <f t="shared" ca="1" si="50"/>
        <v>#VALUE!</v>
      </c>
    </row>
    <row r="1029" spans="57:58">
      <c r="BE1029" s="19">
        <f t="shared" si="51"/>
        <v>0.71180555555555325</v>
      </c>
      <c r="BF1029" t="e">
        <f t="shared" ref="BF1029:BF1092" ca="1" si="52">IF(BE1029&lt;$B$5-1/1440,0,OFFSET($N$4,(BE1029-$B$4)*1440,0,1,1))</f>
        <v>#VALUE!</v>
      </c>
    </row>
    <row r="1030" spans="57:58">
      <c r="BE1030" s="19">
        <f t="shared" ref="BE1030:BE1093" si="53">BE1029+1/1440</f>
        <v>0.71249999999999769</v>
      </c>
      <c r="BF1030" t="e">
        <f t="shared" ca="1" si="52"/>
        <v>#VALUE!</v>
      </c>
    </row>
    <row r="1031" spans="57:58">
      <c r="BE1031" s="19">
        <f t="shared" si="53"/>
        <v>0.71319444444444213</v>
      </c>
      <c r="BF1031" t="e">
        <f t="shared" ca="1" si="52"/>
        <v>#VALUE!</v>
      </c>
    </row>
    <row r="1032" spans="57:58">
      <c r="BE1032" s="19">
        <f t="shared" si="53"/>
        <v>0.71388888888888657</v>
      </c>
      <c r="BF1032" t="e">
        <f t="shared" ca="1" si="52"/>
        <v>#VALUE!</v>
      </c>
    </row>
    <row r="1033" spans="57:58">
      <c r="BE1033" s="19">
        <f t="shared" si="53"/>
        <v>0.71458333333333102</v>
      </c>
      <c r="BF1033" t="e">
        <f t="shared" ca="1" si="52"/>
        <v>#VALUE!</v>
      </c>
    </row>
    <row r="1034" spans="57:58">
      <c r="BE1034" s="19">
        <f t="shared" si="53"/>
        <v>0.71527777777777546</v>
      </c>
      <c r="BF1034" t="e">
        <f t="shared" ca="1" si="52"/>
        <v>#VALUE!</v>
      </c>
    </row>
    <row r="1035" spans="57:58">
      <c r="BE1035" s="19">
        <f t="shared" si="53"/>
        <v>0.7159722222222199</v>
      </c>
      <c r="BF1035" t="e">
        <f t="shared" ca="1" si="52"/>
        <v>#VALUE!</v>
      </c>
    </row>
    <row r="1036" spans="57:58">
      <c r="BE1036" s="19">
        <f t="shared" si="53"/>
        <v>0.71666666666666434</v>
      </c>
      <c r="BF1036" t="e">
        <f t="shared" ca="1" si="52"/>
        <v>#VALUE!</v>
      </c>
    </row>
    <row r="1037" spans="57:58">
      <c r="BE1037" s="19">
        <f t="shared" si="53"/>
        <v>0.71736111111110878</v>
      </c>
      <c r="BF1037" t="e">
        <f t="shared" ca="1" si="52"/>
        <v>#VALUE!</v>
      </c>
    </row>
    <row r="1038" spans="57:58">
      <c r="BE1038" s="19">
        <f t="shared" si="53"/>
        <v>0.71805555555555323</v>
      </c>
      <c r="BF1038" t="e">
        <f t="shared" ca="1" si="52"/>
        <v>#VALUE!</v>
      </c>
    </row>
    <row r="1039" spans="57:58">
      <c r="BE1039" s="19">
        <f t="shared" si="53"/>
        <v>0.71874999999999767</v>
      </c>
      <c r="BF1039" t="e">
        <f t="shared" ca="1" si="52"/>
        <v>#VALUE!</v>
      </c>
    </row>
    <row r="1040" spans="57:58">
      <c r="BE1040" s="19">
        <f t="shared" si="53"/>
        <v>0.71944444444444211</v>
      </c>
      <c r="BF1040" t="e">
        <f t="shared" ca="1" si="52"/>
        <v>#VALUE!</v>
      </c>
    </row>
    <row r="1041" spans="57:58">
      <c r="BE1041" s="19">
        <f t="shared" si="53"/>
        <v>0.72013888888888655</v>
      </c>
      <c r="BF1041" t="e">
        <f t="shared" ca="1" si="52"/>
        <v>#VALUE!</v>
      </c>
    </row>
    <row r="1042" spans="57:58">
      <c r="BE1042" s="19">
        <f t="shared" si="53"/>
        <v>0.72083333333333099</v>
      </c>
      <c r="BF1042" t="e">
        <f t="shared" ca="1" si="52"/>
        <v>#VALUE!</v>
      </c>
    </row>
    <row r="1043" spans="57:58">
      <c r="BE1043" s="19">
        <f t="shared" si="53"/>
        <v>0.72152777777777544</v>
      </c>
      <c r="BF1043" t="e">
        <f t="shared" ca="1" si="52"/>
        <v>#VALUE!</v>
      </c>
    </row>
    <row r="1044" spans="57:58">
      <c r="BE1044" s="19">
        <f t="shared" si="53"/>
        <v>0.72222222222221988</v>
      </c>
      <c r="BF1044" t="e">
        <f t="shared" ca="1" si="52"/>
        <v>#VALUE!</v>
      </c>
    </row>
    <row r="1045" spans="57:58">
      <c r="BE1045" s="19">
        <f t="shared" si="53"/>
        <v>0.72291666666666432</v>
      </c>
      <c r="BF1045" t="e">
        <f t="shared" ca="1" si="52"/>
        <v>#VALUE!</v>
      </c>
    </row>
    <row r="1046" spans="57:58">
      <c r="BE1046" s="19">
        <f t="shared" si="53"/>
        <v>0.72361111111110876</v>
      </c>
      <c r="BF1046" t="e">
        <f t="shared" ca="1" si="52"/>
        <v>#VALUE!</v>
      </c>
    </row>
    <row r="1047" spans="57:58">
      <c r="BE1047" s="19">
        <f t="shared" si="53"/>
        <v>0.7243055555555532</v>
      </c>
      <c r="BF1047" t="e">
        <f t="shared" ca="1" si="52"/>
        <v>#VALUE!</v>
      </c>
    </row>
    <row r="1048" spans="57:58">
      <c r="BE1048" s="19">
        <f t="shared" si="53"/>
        <v>0.72499999999999765</v>
      </c>
      <c r="BF1048" t="e">
        <f t="shared" ca="1" si="52"/>
        <v>#VALUE!</v>
      </c>
    </row>
    <row r="1049" spans="57:58">
      <c r="BE1049" s="19">
        <f t="shared" si="53"/>
        <v>0.72569444444444209</v>
      </c>
      <c r="BF1049" t="e">
        <f t="shared" ca="1" si="52"/>
        <v>#VALUE!</v>
      </c>
    </row>
    <row r="1050" spans="57:58">
      <c r="BE1050" s="19">
        <f t="shared" si="53"/>
        <v>0.72638888888888653</v>
      </c>
      <c r="BF1050" t="e">
        <f t="shared" ca="1" si="52"/>
        <v>#VALUE!</v>
      </c>
    </row>
    <row r="1051" spans="57:58">
      <c r="BE1051" s="19">
        <f t="shared" si="53"/>
        <v>0.72708333333333097</v>
      </c>
      <c r="BF1051" t="e">
        <f t="shared" ca="1" si="52"/>
        <v>#VALUE!</v>
      </c>
    </row>
    <row r="1052" spans="57:58">
      <c r="BE1052" s="19">
        <f t="shared" si="53"/>
        <v>0.72777777777777541</v>
      </c>
      <c r="BF1052" t="e">
        <f t="shared" ca="1" si="52"/>
        <v>#VALUE!</v>
      </c>
    </row>
    <row r="1053" spans="57:58">
      <c r="BE1053" s="19">
        <f t="shared" si="53"/>
        <v>0.72847222222221986</v>
      </c>
      <c r="BF1053" t="e">
        <f t="shared" ca="1" si="52"/>
        <v>#VALUE!</v>
      </c>
    </row>
    <row r="1054" spans="57:58">
      <c r="BE1054" s="19">
        <f t="shared" si="53"/>
        <v>0.7291666666666643</v>
      </c>
      <c r="BF1054" t="e">
        <f t="shared" ca="1" si="52"/>
        <v>#VALUE!</v>
      </c>
    </row>
    <row r="1055" spans="57:58">
      <c r="BE1055" s="19">
        <f t="shared" si="53"/>
        <v>0.72986111111110874</v>
      </c>
      <c r="BF1055" t="e">
        <f t="shared" ca="1" si="52"/>
        <v>#VALUE!</v>
      </c>
    </row>
    <row r="1056" spans="57:58">
      <c r="BE1056" s="19">
        <f t="shared" si="53"/>
        <v>0.73055555555555318</v>
      </c>
      <c r="BF1056" t="e">
        <f t="shared" ca="1" si="52"/>
        <v>#VALUE!</v>
      </c>
    </row>
    <row r="1057" spans="57:58">
      <c r="BE1057" s="19">
        <f t="shared" si="53"/>
        <v>0.73124999999999762</v>
      </c>
      <c r="BF1057" t="e">
        <f t="shared" ca="1" si="52"/>
        <v>#VALUE!</v>
      </c>
    </row>
    <row r="1058" spans="57:58">
      <c r="BE1058" s="19">
        <f t="shared" si="53"/>
        <v>0.73194444444444207</v>
      </c>
      <c r="BF1058" t="e">
        <f t="shared" ca="1" si="52"/>
        <v>#VALUE!</v>
      </c>
    </row>
    <row r="1059" spans="57:58">
      <c r="BE1059" s="19">
        <f t="shared" si="53"/>
        <v>0.73263888888888651</v>
      </c>
      <c r="BF1059" t="e">
        <f t="shared" ca="1" si="52"/>
        <v>#VALUE!</v>
      </c>
    </row>
    <row r="1060" spans="57:58">
      <c r="BE1060" s="19">
        <f t="shared" si="53"/>
        <v>0.73333333333333095</v>
      </c>
      <c r="BF1060" t="e">
        <f t="shared" ca="1" si="52"/>
        <v>#VALUE!</v>
      </c>
    </row>
    <row r="1061" spans="57:58">
      <c r="BE1061" s="19">
        <f t="shared" si="53"/>
        <v>0.73402777777777539</v>
      </c>
      <c r="BF1061" t="e">
        <f t="shared" ca="1" si="52"/>
        <v>#VALUE!</v>
      </c>
    </row>
    <row r="1062" spans="57:58">
      <c r="BE1062" s="19">
        <f t="shared" si="53"/>
        <v>0.73472222222221983</v>
      </c>
      <c r="BF1062" t="e">
        <f t="shared" ca="1" si="52"/>
        <v>#VALUE!</v>
      </c>
    </row>
    <row r="1063" spans="57:58">
      <c r="BE1063" s="19">
        <f t="shared" si="53"/>
        <v>0.73541666666666428</v>
      </c>
      <c r="BF1063" t="e">
        <f t="shared" ca="1" si="52"/>
        <v>#VALUE!</v>
      </c>
    </row>
    <row r="1064" spans="57:58">
      <c r="BE1064" s="19">
        <f t="shared" si="53"/>
        <v>0.73611111111110872</v>
      </c>
      <c r="BF1064" t="e">
        <f t="shared" ca="1" si="52"/>
        <v>#VALUE!</v>
      </c>
    </row>
    <row r="1065" spans="57:58">
      <c r="BE1065" s="19">
        <f t="shared" si="53"/>
        <v>0.73680555555555316</v>
      </c>
      <c r="BF1065" t="e">
        <f t="shared" ca="1" si="52"/>
        <v>#VALUE!</v>
      </c>
    </row>
    <row r="1066" spans="57:58">
      <c r="BE1066" s="19">
        <f t="shared" si="53"/>
        <v>0.7374999999999976</v>
      </c>
      <c r="BF1066" t="e">
        <f t="shared" ca="1" si="52"/>
        <v>#VALUE!</v>
      </c>
    </row>
    <row r="1067" spans="57:58">
      <c r="BE1067" s="19">
        <f t="shared" si="53"/>
        <v>0.73819444444444204</v>
      </c>
      <c r="BF1067" t="e">
        <f t="shared" ca="1" si="52"/>
        <v>#VALUE!</v>
      </c>
    </row>
    <row r="1068" spans="57:58">
      <c r="BE1068" s="19">
        <f t="shared" si="53"/>
        <v>0.73888888888888649</v>
      </c>
      <c r="BF1068" t="e">
        <f t="shared" ca="1" si="52"/>
        <v>#VALUE!</v>
      </c>
    </row>
    <row r="1069" spans="57:58">
      <c r="BE1069" s="19">
        <f t="shared" si="53"/>
        <v>0.73958333333333093</v>
      </c>
      <c r="BF1069" t="e">
        <f t="shared" ca="1" si="52"/>
        <v>#VALUE!</v>
      </c>
    </row>
    <row r="1070" spans="57:58">
      <c r="BE1070" s="19">
        <f t="shared" si="53"/>
        <v>0.74027777777777537</v>
      </c>
      <c r="BF1070" t="e">
        <f t="shared" ca="1" si="52"/>
        <v>#VALUE!</v>
      </c>
    </row>
    <row r="1071" spans="57:58">
      <c r="BE1071" s="19">
        <f t="shared" si="53"/>
        <v>0.74097222222221981</v>
      </c>
      <c r="BF1071" t="e">
        <f t="shared" ca="1" si="52"/>
        <v>#VALUE!</v>
      </c>
    </row>
    <row r="1072" spans="57:58">
      <c r="BE1072" s="19">
        <f t="shared" si="53"/>
        <v>0.74166666666666425</v>
      </c>
      <c r="BF1072" t="e">
        <f t="shared" ca="1" si="52"/>
        <v>#VALUE!</v>
      </c>
    </row>
    <row r="1073" spans="57:58">
      <c r="BE1073" s="19">
        <f t="shared" si="53"/>
        <v>0.7423611111111087</v>
      </c>
      <c r="BF1073" t="e">
        <f t="shared" ca="1" si="52"/>
        <v>#VALUE!</v>
      </c>
    </row>
    <row r="1074" spans="57:58">
      <c r="BE1074" s="19">
        <f t="shared" si="53"/>
        <v>0.74305555555555314</v>
      </c>
      <c r="BF1074" t="e">
        <f t="shared" ca="1" si="52"/>
        <v>#VALUE!</v>
      </c>
    </row>
    <row r="1075" spans="57:58">
      <c r="BE1075" s="19">
        <f t="shared" si="53"/>
        <v>0.74374999999999758</v>
      </c>
      <c r="BF1075" t="e">
        <f t="shared" ca="1" si="52"/>
        <v>#VALUE!</v>
      </c>
    </row>
    <row r="1076" spans="57:58">
      <c r="BE1076" s="19">
        <f t="shared" si="53"/>
        <v>0.74444444444444202</v>
      </c>
      <c r="BF1076" t="e">
        <f t="shared" ca="1" si="52"/>
        <v>#VALUE!</v>
      </c>
    </row>
    <row r="1077" spans="57:58">
      <c r="BE1077" s="19">
        <f t="shared" si="53"/>
        <v>0.74513888888888646</v>
      </c>
      <c r="BF1077" t="e">
        <f t="shared" ca="1" si="52"/>
        <v>#VALUE!</v>
      </c>
    </row>
    <row r="1078" spans="57:58">
      <c r="BE1078" s="19">
        <f t="shared" si="53"/>
        <v>0.74583333333333091</v>
      </c>
      <c r="BF1078" t="e">
        <f t="shared" ca="1" si="52"/>
        <v>#VALUE!</v>
      </c>
    </row>
    <row r="1079" spans="57:58">
      <c r="BE1079" s="19">
        <f t="shared" si="53"/>
        <v>0.74652777777777535</v>
      </c>
      <c r="BF1079" t="e">
        <f t="shared" ca="1" si="52"/>
        <v>#VALUE!</v>
      </c>
    </row>
    <row r="1080" spans="57:58">
      <c r="BE1080" s="19">
        <f t="shared" si="53"/>
        <v>0.74722222222221979</v>
      </c>
      <c r="BF1080" t="e">
        <f t="shared" ca="1" si="52"/>
        <v>#VALUE!</v>
      </c>
    </row>
    <row r="1081" spans="57:58">
      <c r="BE1081" s="19">
        <f t="shared" si="53"/>
        <v>0.74791666666666423</v>
      </c>
      <c r="BF1081" t="e">
        <f t="shared" ca="1" si="52"/>
        <v>#VALUE!</v>
      </c>
    </row>
    <row r="1082" spans="57:58">
      <c r="BE1082" s="19">
        <f t="shared" si="53"/>
        <v>0.74861111111110867</v>
      </c>
      <c r="BF1082" t="e">
        <f t="shared" ca="1" si="52"/>
        <v>#VALUE!</v>
      </c>
    </row>
    <row r="1083" spans="57:58">
      <c r="BE1083" s="19">
        <f t="shared" si="53"/>
        <v>0.74930555555555312</v>
      </c>
      <c r="BF1083" t="e">
        <f t="shared" ca="1" si="52"/>
        <v>#VALUE!</v>
      </c>
    </row>
    <row r="1084" spans="57:58">
      <c r="BE1084" s="19">
        <f t="shared" si="53"/>
        <v>0.74999999999999756</v>
      </c>
      <c r="BF1084" t="e">
        <f t="shared" ca="1" si="52"/>
        <v>#VALUE!</v>
      </c>
    </row>
    <row r="1085" spans="57:58">
      <c r="BE1085" s="19">
        <f t="shared" si="53"/>
        <v>0.750694444444442</v>
      </c>
      <c r="BF1085" t="e">
        <f t="shared" ca="1" si="52"/>
        <v>#VALUE!</v>
      </c>
    </row>
    <row r="1086" spans="57:58">
      <c r="BE1086" s="19">
        <f t="shared" si="53"/>
        <v>0.75138888888888644</v>
      </c>
      <c r="BF1086" t="e">
        <f t="shared" ca="1" si="52"/>
        <v>#VALUE!</v>
      </c>
    </row>
    <row r="1087" spans="57:58">
      <c r="BE1087" s="19">
        <f t="shared" si="53"/>
        <v>0.75208333333333088</v>
      </c>
      <c r="BF1087" t="e">
        <f t="shared" ca="1" si="52"/>
        <v>#VALUE!</v>
      </c>
    </row>
    <row r="1088" spans="57:58">
      <c r="BE1088" s="19">
        <f t="shared" si="53"/>
        <v>0.75277777777777533</v>
      </c>
      <c r="BF1088" t="e">
        <f t="shared" ca="1" si="52"/>
        <v>#VALUE!</v>
      </c>
    </row>
    <row r="1089" spans="57:58">
      <c r="BE1089" s="19">
        <f t="shared" si="53"/>
        <v>0.75347222222221977</v>
      </c>
      <c r="BF1089" t="e">
        <f t="shared" ca="1" si="52"/>
        <v>#VALUE!</v>
      </c>
    </row>
    <row r="1090" spans="57:58">
      <c r="BE1090" s="19">
        <f t="shared" si="53"/>
        <v>0.75416666666666421</v>
      </c>
      <c r="BF1090" t="e">
        <f t="shared" ca="1" si="52"/>
        <v>#VALUE!</v>
      </c>
    </row>
    <row r="1091" spans="57:58">
      <c r="BE1091" s="19">
        <f t="shared" si="53"/>
        <v>0.75486111111110865</v>
      </c>
      <c r="BF1091" t="e">
        <f t="shared" ca="1" si="52"/>
        <v>#VALUE!</v>
      </c>
    </row>
    <row r="1092" spans="57:58">
      <c r="BE1092" s="19">
        <f t="shared" si="53"/>
        <v>0.75555555555555309</v>
      </c>
      <c r="BF1092" t="e">
        <f t="shared" ca="1" si="52"/>
        <v>#VALUE!</v>
      </c>
    </row>
    <row r="1093" spans="57:58">
      <c r="BE1093" s="19">
        <f t="shared" si="53"/>
        <v>0.75624999999999754</v>
      </c>
      <c r="BF1093" t="e">
        <f t="shared" ref="BF1093:BF1156" ca="1" si="54">IF(BE1093&lt;$B$5-1/1440,0,OFFSET($N$4,(BE1093-$B$4)*1440,0,1,1))</f>
        <v>#VALUE!</v>
      </c>
    </row>
    <row r="1094" spans="57:58">
      <c r="BE1094" s="19">
        <f t="shared" ref="BE1094:BE1157" si="55">BE1093+1/1440</f>
        <v>0.75694444444444198</v>
      </c>
      <c r="BF1094" t="e">
        <f t="shared" ca="1" si="54"/>
        <v>#VALUE!</v>
      </c>
    </row>
    <row r="1095" spans="57:58">
      <c r="BE1095" s="19">
        <f t="shared" si="55"/>
        <v>0.75763888888888642</v>
      </c>
      <c r="BF1095" t="e">
        <f t="shared" ca="1" si="54"/>
        <v>#VALUE!</v>
      </c>
    </row>
    <row r="1096" spans="57:58">
      <c r="BE1096" s="19">
        <f t="shared" si="55"/>
        <v>0.75833333333333086</v>
      </c>
      <c r="BF1096" t="e">
        <f t="shared" ca="1" si="54"/>
        <v>#VALUE!</v>
      </c>
    </row>
    <row r="1097" spans="57:58">
      <c r="BE1097" s="19">
        <f t="shared" si="55"/>
        <v>0.7590277777777753</v>
      </c>
      <c r="BF1097" t="e">
        <f t="shared" ca="1" si="54"/>
        <v>#VALUE!</v>
      </c>
    </row>
    <row r="1098" spans="57:58">
      <c r="BE1098" s="19">
        <f t="shared" si="55"/>
        <v>0.75972222222221975</v>
      </c>
      <c r="BF1098" t="e">
        <f t="shared" ca="1" si="54"/>
        <v>#VALUE!</v>
      </c>
    </row>
    <row r="1099" spans="57:58">
      <c r="BE1099" s="19">
        <f t="shared" si="55"/>
        <v>0.76041666666666419</v>
      </c>
      <c r="BF1099" t="e">
        <f t="shared" ca="1" si="54"/>
        <v>#VALUE!</v>
      </c>
    </row>
    <row r="1100" spans="57:58">
      <c r="BE1100" s="19">
        <f t="shared" si="55"/>
        <v>0.76111111111110863</v>
      </c>
      <c r="BF1100" t="e">
        <f t="shared" ca="1" si="54"/>
        <v>#VALUE!</v>
      </c>
    </row>
    <row r="1101" spans="57:58">
      <c r="BE1101" s="19">
        <f t="shared" si="55"/>
        <v>0.76180555555555307</v>
      </c>
      <c r="BF1101" t="e">
        <f t="shared" ca="1" si="54"/>
        <v>#VALUE!</v>
      </c>
    </row>
    <row r="1102" spans="57:58">
      <c r="BE1102" s="19">
        <f t="shared" si="55"/>
        <v>0.76249999999999751</v>
      </c>
      <c r="BF1102" t="e">
        <f t="shared" ca="1" si="54"/>
        <v>#VALUE!</v>
      </c>
    </row>
    <row r="1103" spans="57:58">
      <c r="BE1103" s="19">
        <f t="shared" si="55"/>
        <v>0.76319444444444196</v>
      </c>
      <c r="BF1103" t="e">
        <f t="shared" ca="1" si="54"/>
        <v>#VALUE!</v>
      </c>
    </row>
    <row r="1104" spans="57:58">
      <c r="BE1104" s="19">
        <f t="shared" si="55"/>
        <v>0.7638888888888864</v>
      </c>
      <c r="BF1104" t="e">
        <f t="shared" ca="1" si="54"/>
        <v>#VALUE!</v>
      </c>
    </row>
    <row r="1105" spans="57:58">
      <c r="BE1105" s="19">
        <f t="shared" si="55"/>
        <v>0.76458333333333084</v>
      </c>
      <c r="BF1105" t="e">
        <f t="shared" ca="1" si="54"/>
        <v>#VALUE!</v>
      </c>
    </row>
    <row r="1106" spans="57:58">
      <c r="BE1106" s="19">
        <f t="shared" si="55"/>
        <v>0.76527777777777528</v>
      </c>
      <c r="BF1106" t="e">
        <f t="shared" ca="1" si="54"/>
        <v>#VALUE!</v>
      </c>
    </row>
    <row r="1107" spans="57:58">
      <c r="BE1107" s="19">
        <f t="shared" si="55"/>
        <v>0.76597222222221972</v>
      </c>
      <c r="BF1107" t="e">
        <f t="shared" ca="1" si="54"/>
        <v>#VALUE!</v>
      </c>
    </row>
    <row r="1108" spans="57:58">
      <c r="BE1108" s="19">
        <f t="shared" si="55"/>
        <v>0.76666666666666416</v>
      </c>
      <c r="BF1108" t="e">
        <f t="shared" ca="1" si="54"/>
        <v>#VALUE!</v>
      </c>
    </row>
    <row r="1109" spans="57:58">
      <c r="BE1109" s="19">
        <f t="shared" si="55"/>
        <v>0.76736111111110861</v>
      </c>
      <c r="BF1109" t="e">
        <f t="shared" ca="1" si="54"/>
        <v>#VALUE!</v>
      </c>
    </row>
    <row r="1110" spans="57:58">
      <c r="BE1110" s="19">
        <f t="shared" si="55"/>
        <v>0.76805555555555305</v>
      </c>
      <c r="BF1110" t="e">
        <f t="shared" ca="1" si="54"/>
        <v>#VALUE!</v>
      </c>
    </row>
    <row r="1111" spans="57:58">
      <c r="BE1111" s="19">
        <f t="shared" si="55"/>
        <v>0.76874999999999749</v>
      </c>
      <c r="BF1111" t="e">
        <f t="shared" ca="1" si="54"/>
        <v>#VALUE!</v>
      </c>
    </row>
    <row r="1112" spans="57:58">
      <c r="BE1112" s="19">
        <f t="shared" si="55"/>
        <v>0.76944444444444193</v>
      </c>
      <c r="BF1112" t="e">
        <f t="shared" ca="1" si="54"/>
        <v>#VALUE!</v>
      </c>
    </row>
    <row r="1113" spans="57:58">
      <c r="BE1113" s="19">
        <f t="shared" si="55"/>
        <v>0.77013888888888637</v>
      </c>
      <c r="BF1113" t="e">
        <f t="shared" ca="1" si="54"/>
        <v>#VALUE!</v>
      </c>
    </row>
    <row r="1114" spans="57:58">
      <c r="BE1114" s="19">
        <f t="shared" si="55"/>
        <v>0.77083333333333082</v>
      </c>
      <c r="BF1114" t="e">
        <f t="shared" ca="1" si="54"/>
        <v>#VALUE!</v>
      </c>
    </row>
    <row r="1115" spans="57:58">
      <c r="BE1115" s="19">
        <f t="shared" si="55"/>
        <v>0.77152777777777526</v>
      </c>
      <c r="BF1115" t="e">
        <f t="shared" ca="1" si="54"/>
        <v>#VALUE!</v>
      </c>
    </row>
    <row r="1116" spans="57:58">
      <c r="BE1116" s="19">
        <f t="shared" si="55"/>
        <v>0.7722222222222197</v>
      </c>
      <c r="BF1116" t="e">
        <f t="shared" ca="1" si="54"/>
        <v>#VALUE!</v>
      </c>
    </row>
    <row r="1117" spans="57:58">
      <c r="BE1117" s="19">
        <f t="shared" si="55"/>
        <v>0.77291666666666414</v>
      </c>
      <c r="BF1117" t="e">
        <f t="shared" ca="1" si="54"/>
        <v>#VALUE!</v>
      </c>
    </row>
    <row r="1118" spans="57:58">
      <c r="BE1118" s="19">
        <f t="shared" si="55"/>
        <v>0.77361111111110858</v>
      </c>
      <c r="BF1118" t="e">
        <f t="shared" ca="1" si="54"/>
        <v>#VALUE!</v>
      </c>
    </row>
    <row r="1119" spans="57:58">
      <c r="BE1119" s="19">
        <f t="shared" si="55"/>
        <v>0.77430555555555303</v>
      </c>
      <c r="BF1119" t="e">
        <f t="shared" ca="1" si="54"/>
        <v>#VALUE!</v>
      </c>
    </row>
    <row r="1120" spans="57:58">
      <c r="BE1120" s="19">
        <f t="shared" si="55"/>
        <v>0.77499999999999747</v>
      </c>
      <c r="BF1120" t="e">
        <f t="shared" ca="1" si="54"/>
        <v>#VALUE!</v>
      </c>
    </row>
    <row r="1121" spans="57:58">
      <c r="BE1121" s="19">
        <f t="shared" si="55"/>
        <v>0.77569444444444191</v>
      </c>
      <c r="BF1121" t="e">
        <f t="shared" ca="1" si="54"/>
        <v>#VALUE!</v>
      </c>
    </row>
    <row r="1122" spans="57:58">
      <c r="BE1122" s="19">
        <f t="shared" si="55"/>
        <v>0.77638888888888635</v>
      </c>
      <c r="BF1122" t="e">
        <f t="shared" ca="1" si="54"/>
        <v>#VALUE!</v>
      </c>
    </row>
    <row r="1123" spans="57:58">
      <c r="BE1123" s="19">
        <f t="shared" si="55"/>
        <v>0.77708333333333079</v>
      </c>
      <c r="BF1123" t="e">
        <f t="shared" ca="1" si="54"/>
        <v>#VALUE!</v>
      </c>
    </row>
    <row r="1124" spans="57:58">
      <c r="BE1124" s="19">
        <f t="shared" si="55"/>
        <v>0.77777777777777524</v>
      </c>
      <c r="BF1124" t="e">
        <f t="shared" ca="1" si="54"/>
        <v>#VALUE!</v>
      </c>
    </row>
    <row r="1125" spans="57:58">
      <c r="BE1125" s="19">
        <f t="shared" si="55"/>
        <v>0.77847222222221968</v>
      </c>
      <c r="BF1125" t="e">
        <f t="shared" ca="1" si="54"/>
        <v>#VALUE!</v>
      </c>
    </row>
    <row r="1126" spans="57:58">
      <c r="BE1126" s="19">
        <f t="shared" si="55"/>
        <v>0.77916666666666412</v>
      </c>
      <c r="BF1126" t="e">
        <f t="shared" ca="1" si="54"/>
        <v>#VALUE!</v>
      </c>
    </row>
    <row r="1127" spans="57:58">
      <c r="BE1127" s="19">
        <f t="shared" si="55"/>
        <v>0.77986111111110856</v>
      </c>
      <c r="BF1127" t="e">
        <f t="shared" ca="1" si="54"/>
        <v>#VALUE!</v>
      </c>
    </row>
    <row r="1128" spans="57:58">
      <c r="BE1128" s="19">
        <f t="shared" si="55"/>
        <v>0.780555555555553</v>
      </c>
      <c r="BF1128" t="e">
        <f t="shared" ca="1" si="54"/>
        <v>#VALUE!</v>
      </c>
    </row>
    <row r="1129" spans="57:58">
      <c r="BE1129" s="19">
        <f t="shared" si="55"/>
        <v>0.78124999999999745</v>
      </c>
      <c r="BF1129" t="e">
        <f t="shared" ca="1" si="54"/>
        <v>#VALUE!</v>
      </c>
    </row>
    <row r="1130" spans="57:58">
      <c r="BE1130" s="19">
        <f t="shared" si="55"/>
        <v>0.78194444444444189</v>
      </c>
      <c r="BF1130" t="e">
        <f t="shared" ca="1" si="54"/>
        <v>#VALUE!</v>
      </c>
    </row>
    <row r="1131" spans="57:58">
      <c r="BE1131" s="19">
        <f t="shared" si="55"/>
        <v>0.78263888888888633</v>
      </c>
      <c r="BF1131" t="e">
        <f t="shared" ca="1" si="54"/>
        <v>#VALUE!</v>
      </c>
    </row>
    <row r="1132" spans="57:58">
      <c r="BE1132" s="19">
        <f t="shared" si="55"/>
        <v>0.78333333333333077</v>
      </c>
      <c r="BF1132" t="e">
        <f t="shared" ca="1" si="54"/>
        <v>#VALUE!</v>
      </c>
    </row>
    <row r="1133" spans="57:58">
      <c r="BE1133" s="19">
        <f t="shared" si="55"/>
        <v>0.78402777777777521</v>
      </c>
      <c r="BF1133" t="e">
        <f t="shared" ca="1" si="54"/>
        <v>#VALUE!</v>
      </c>
    </row>
    <row r="1134" spans="57:58">
      <c r="BE1134" s="19">
        <f t="shared" si="55"/>
        <v>0.78472222222221966</v>
      </c>
      <c r="BF1134" t="e">
        <f t="shared" ca="1" si="54"/>
        <v>#VALUE!</v>
      </c>
    </row>
    <row r="1135" spans="57:58">
      <c r="BE1135" s="19">
        <f t="shared" si="55"/>
        <v>0.7854166666666641</v>
      </c>
      <c r="BF1135" t="e">
        <f t="shared" ca="1" si="54"/>
        <v>#VALUE!</v>
      </c>
    </row>
    <row r="1136" spans="57:58">
      <c r="BE1136" s="19">
        <f t="shared" si="55"/>
        <v>0.78611111111110854</v>
      </c>
      <c r="BF1136" t="e">
        <f t="shared" ca="1" si="54"/>
        <v>#VALUE!</v>
      </c>
    </row>
    <row r="1137" spans="57:58">
      <c r="BE1137" s="19">
        <f t="shared" si="55"/>
        <v>0.78680555555555298</v>
      </c>
      <c r="BF1137" t="e">
        <f t="shared" ca="1" si="54"/>
        <v>#VALUE!</v>
      </c>
    </row>
    <row r="1138" spans="57:58">
      <c r="BE1138" s="19">
        <f t="shared" si="55"/>
        <v>0.78749999999999742</v>
      </c>
      <c r="BF1138" t="e">
        <f t="shared" ca="1" si="54"/>
        <v>#VALUE!</v>
      </c>
    </row>
    <row r="1139" spans="57:58">
      <c r="BE1139" s="19">
        <f t="shared" si="55"/>
        <v>0.78819444444444187</v>
      </c>
      <c r="BF1139" t="e">
        <f t="shared" ca="1" si="54"/>
        <v>#VALUE!</v>
      </c>
    </row>
    <row r="1140" spans="57:58">
      <c r="BE1140" s="19">
        <f t="shared" si="55"/>
        <v>0.78888888888888631</v>
      </c>
      <c r="BF1140" t="e">
        <f t="shared" ca="1" si="54"/>
        <v>#VALUE!</v>
      </c>
    </row>
    <row r="1141" spans="57:58">
      <c r="BE1141" s="19">
        <f t="shared" si="55"/>
        <v>0.78958333333333075</v>
      </c>
      <c r="BF1141" t="e">
        <f t="shared" ca="1" si="54"/>
        <v>#VALUE!</v>
      </c>
    </row>
    <row r="1142" spans="57:58">
      <c r="BE1142" s="19">
        <f t="shared" si="55"/>
        <v>0.79027777777777519</v>
      </c>
      <c r="BF1142" t="e">
        <f t="shared" ca="1" si="54"/>
        <v>#VALUE!</v>
      </c>
    </row>
    <row r="1143" spans="57:58">
      <c r="BE1143" s="19">
        <f t="shared" si="55"/>
        <v>0.79097222222221963</v>
      </c>
      <c r="BF1143" t="e">
        <f t="shared" ca="1" si="54"/>
        <v>#VALUE!</v>
      </c>
    </row>
    <row r="1144" spans="57:58">
      <c r="BE1144" s="19">
        <f t="shared" si="55"/>
        <v>0.79166666666666408</v>
      </c>
      <c r="BF1144" t="e">
        <f t="shared" ca="1" si="54"/>
        <v>#VALUE!</v>
      </c>
    </row>
    <row r="1145" spans="57:58">
      <c r="BE1145" s="19">
        <f t="shared" si="55"/>
        <v>0.79236111111110852</v>
      </c>
      <c r="BF1145" t="e">
        <f t="shared" ca="1" si="54"/>
        <v>#VALUE!</v>
      </c>
    </row>
    <row r="1146" spans="57:58">
      <c r="BE1146" s="19">
        <f t="shared" si="55"/>
        <v>0.79305555555555296</v>
      </c>
      <c r="BF1146" t="e">
        <f t="shared" ca="1" si="54"/>
        <v>#VALUE!</v>
      </c>
    </row>
    <row r="1147" spans="57:58">
      <c r="BE1147" s="19">
        <f t="shared" si="55"/>
        <v>0.7937499999999974</v>
      </c>
      <c r="BF1147" t="e">
        <f t="shared" ca="1" si="54"/>
        <v>#VALUE!</v>
      </c>
    </row>
    <row r="1148" spans="57:58">
      <c r="BE1148" s="19">
        <f t="shared" si="55"/>
        <v>0.79444444444444184</v>
      </c>
      <c r="BF1148" t="e">
        <f t="shared" ca="1" si="54"/>
        <v>#VALUE!</v>
      </c>
    </row>
    <row r="1149" spans="57:58">
      <c r="BE1149" s="19">
        <f t="shared" si="55"/>
        <v>0.79513888888888629</v>
      </c>
      <c r="BF1149" t="e">
        <f t="shared" ca="1" si="54"/>
        <v>#VALUE!</v>
      </c>
    </row>
    <row r="1150" spans="57:58">
      <c r="BE1150" s="19">
        <f t="shared" si="55"/>
        <v>0.79583333333333073</v>
      </c>
      <c r="BF1150" t="e">
        <f t="shared" ca="1" si="54"/>
        <v>#VALUE!</v>
      </c>
    </row>
    <row r="1151" spans="57:58">
      <c r="BE1151" s="19">
        <f t="shared" si="55"/>
        <v>0.79652777777777517</v>
      </c>
      <c r="BF1151" t="e">
        <f t="shared" ca="1" si="54"/>
        <v>#VALUE!</v>
      </c>
    </row>
    <row r="1152" spans="57:58">
      <c r="BE1152" s="19">
        <f t="shared" si="55"/>
        <v>0.79722222222221961</v>
      </c>
      <c r="BF1152" t="e">
        <f t="shared" ca="1" si="54"/>
        <v>#VALUE!</v>
      </c>
    </row>
    <row r="1153" spans="57:58">
      <c r="BE1153" s="19">
        <f t="shared" si="55"/>
        <v>0.79791666666666405</v>
      </c>
      <c r="BF1153" t="e">
        <f t="shared" ca="1" si="54"/>
        <v>#VALUE!</v>
      </c>
    </row>
    <row r="1154" spans="57:58">
      <c r="BE1154" s="19">
        <f t="shared" si="55"/>
        <v>0.7986111111111085</v>
      </c>
      <c r="BF1154" t="e">
        <f t="shared" ca="1" si="54"/>
        <v>#VALUE!</v>
      </c>
    </row>
    <row r="1155" spans="57:58">
      <c r="BE1155" s="19">
        <f t="shared" si="55"/>
        <v>0.79930555555555294</v>
      </c>
      <c r="BF1155" t="e">
        <f t="shared" ca="1" si="54"/>
        <v>#VALUE!</v>
      </c>
    </row>
    <row r="1156" spans="57:58">
      <c r="BE1156" s="19">
        <f t="shared" si="55"/>
        <v>0.79999999999999738</v>
      </c>
      <c r="BF1156" t="e">
        <f t="shared" ca="1" si="54"/>
        <v>#VALUE!</v>
      </c>
    </row>
    <row r="1157" spans="57:58">
      <c r="BE1157" s="19">
        <f t="shared" si="55"/>
        <v>0.80069444444444182</v>
      </c>
      <c r="BF1157" t="e">
        <f t="shared" ref="BF1157:BF1220" ca="1" si="56">IF(BE1157&lt;$B$5-1/1440,0,OFFSET($N$4,(BE1157-$B$4)*1440,0,1,1))</f>
        <v>#VALUE!</v>
      </c>
    </row>
    <row r="1158" spans="57:58">
      <c r="BE1158" s="19">
        <f t="shared" ref="BE1158:BE1221" si="57">BE1157+1/1440</f>
        <v>0.80138888888888626</v>
      </c>
      <c r="BF1158" t="e">
        <f t="shared" ca="1" si="56"/>
        <v>#VALUE!</v>
      </c>
    </row>
    <row r="1159" spans="57:58">
      <c r="BE1159" s="19">
        <f t="shared" si="57"/>
        <v>0.80208333333333071</v>
      </c>
      <c r="BF1159" t="e">
        <f t="shared" ca="1" si="56"/>
        <v>#VALUE!</v>
      </c>
    </row>
    <row r="1160" spans="57:58">
      <c r="BE1160" s="19">
        <f t="shared" si="57"/>
        <v>0.80277777777777515</v>
      </c>
      <c r="BF1160" t="e">
        <f t="shared" ca="1" si="56"/>
        <v>#VALUE!</v>
      </c>
    </row>
    <row r="1161" spans="57:58">
      <c r="BE1161" s="19">
        <f t="shared" si="57"/>
        <v>0.80347222222221959</v>
      </c>
      <c r="BF1161" t="e">
        <f t="shared" ca="1" si="56"/>
        <v>#VALUE!</v>
      </c>
    </row>
    <row r="1162" spans="57:58">
      <c r="BE1162" s="19">
        <f t="shared" si="57"/>
        <v>0.80416666666666403</v>
      </c>
      <c r="BF1162" t="e">
        <f t="shared" ca="1" si="56"/>
        <v>#VALUE!</v>
      </c>
    </row>
    <row r="1163" spans="57:58">
      <c r="BE1163" s="19">
        <f t="shared" si="57"/>
        <v>0.80486111111110847</v>
      </c>
      <c r="BF1163" t="e">
        <f t="shared" ca="1" si="56"/>
        <v>#VALUE!</v>
      </c>
    </row>
    <row r="1164" spans="57:58">
      <c r="BE1164" s="19">
        <f t="shared" si="57"/>
        <v>0.80555555555555292</v>
      </c>
      <c r="BF1164" t="e">
        <f t="shared" ca="1" si="56"/>
        <v>#VALUE!</v>
      </c>
    </row>
    <row r="1165" spans="57:58">
      <c r="BE1165" s="19">
        <f t="shared" si="57"/>
        <v>0.80624999999999736</v>
      </c>
      <c r="BF1165" t="e">
        <f t="shared" ca="1" si="56"/>
        <v>#VALUE!</v>
      </c>
    </row>
    <row r="1166" spans="57:58">
      <c r="BE1166" s="19">
        <f t="shared" si="57"/>
        <v>0.8069444444444418</v>
      </c>
      <c r="BF1166" t="e">
        <f t="shared" ca="1" si="56"/>
        <v>#VALUE!</v>
      </c>
    </row>
    <row r="1167" spans="57:58">
      <c r="BE1167" s="19">
        <f t="shared" si="57"/>
        <v>0.80763888888888624</v>
      </c>
      <c r="BF1167" t="e">
        <f t="shared" ca="1" si="56"/>
        <v>#VALUE!</v>
      </c>
    </row>
    <row r="1168" spans="57:58">
      <c r="BE1168" s="19">
        <f t="shared" si="57"/>
        <v>0.80833333333333068</v>
      </c>
      <c r="BF1168" t="e">
        <f t="shared" ca="1" si="56"/>
        <v>#VALUE!</v>
      </c>
    </row>
    <row r="1169" spans="57:58">
      <c r="BE1169" s="19">
        <f t="shared" si="57"/>
        <v>0.80902777777777513</v>
      </c>
      <c r="BF1169" t="e">
        <f t="shared" ca="1" si="56"/>
        <v>#VALUE!</v>
      </c>
    </row>
    <row r="1170" spans="57:58">
      <c r="BE1170" s="19">
        <f t="shared" si="57"/>
        <v>0.80972222222221957</v>
      </c>
      <c r="BF1170" t="e">
        <f t="shared" ca="1" si="56"/>
        <v>#VALUE!</v>
      </c>
    </row>
    <row r="1171" spans="57:58">
      <c r="BE1171" s="19">
        <f t="shared" si="57"/>
        <v>0.81041666666666401</v>
      </c>
      <c r="BF1171" t="e">
        <f t="shared" ca="1" si="56"/>
        <v>#VALUE!</v>
      </c>
    </row>
    <row r="1172" spans="57:58">
      <c r="BE1172" s="19">
        <f t="shared" si="57"/>
        <v>0.81111111111110845</v>
      </c>
      <c r="BF1172" t="e">
        <f t="shared" ca="1" si="56"/>
        <v>#VALUE!</v>
      </c>
    </row>
    <row r="1173" spans="57:58">
      <c r="BE1173" s="19">
        <f t="shared" si="57"/>
        <v>0.81180555555555289</v>
      </c>
      <c r="BF1173" t="e">
        <f t="shared" ca="1" si="56"/>
        <v>#VALUE!</v>
      </c>
    </row>
    <row r="1174" spans="57:58">
      <c r="BE1174" s="19">
        <f t="shared" si="57"/>
        <v>0.81249999999999734</v>
      </c>
      <c r="BF1174" t="e">
        <f t="shared" ca="1" si="56"/>
        <v>#VALUE!</v>
      </c>
    </row>
    <row r="1175" spans="57:58">
      <c r="BE1175" s="19">
        <f t="shared" si="57"/>
        <v>0.81319444444444178</v>
      </c>
      <c r="BF1175" t="e">
        <f t="shared" ca="1" si="56"/>
        <v>#VALUE!</v>
      </c>
    </row>
    <row r="1176" spans="57:58">
      <c r="BE1176" s="19">
        <f t="shared" si="57"/>
        <v>0.81388888888888622</v>
      </c>
      <c r="BF1176" t="e">
        <f t="shared" ca="1" si="56"/>
        <v>#VALUE!</v>
      </c>
    </row>
    <row r="1177" spans="57:58">
      <c r="BE1177" s="19">
        <f t="shared" si="57"/>
        <v>0.81458333333333066</v>
      </c>
      <c r="BF1177" t="e">
        <f t="shared" ca="1" si="56"/>
        <v>#VALUE!</v>
      </c>
    </row>
    <row r="1178" spans="57:58">
      <c r="BE1178" s="19">
        <f t="shared" si="57"/>
        <v>0.8152777777777751</v>
      </c>
      <c r="BF1178" t="e">
        <f t="shared" ca="1" si="56"/>
        <v>#VALUE!</v>
      </c>
    </row>
    <row r="1179" spans="57:58">
      <c r="BE1179" s="19">
        <f t="shared" si="57"/>
        <v>0.81597222222221955</v>
      </c>
      <c r="BF1179" t="e">
        <f t="shared" ca="1" si="56"/>
        <v>#VALUE!</v>
      </c>
    </row>
    <row r="1180" spans="57:58">
      <c r="BE1180" s="19">
        <f t="shared" si="57"/>
        <v>0.81666666666666399</v>
      </c>
      <c r="BF1180" t="e">
        <f t="shared" ca="1" si="56"/>
        <v>#VALUE!</v>
      </c>
    </row>
    <row r="1181" spans="57:58">
      <c r="BE1181" s="19">
        <f t="shared" si="57"/>
        <v>0.81736111111110843</v>
      </c>
      <c r="BF1181" t="e">
        <f t="shared" ca="1" si="56"/>
        <v>#VALUE!</v>
      </c>
    </row>
    <row r="1182" spans="57:58">
      <c r="BE1182" s="19">
        <f t="shared" si="57"/>
        <v>0.81805555555555287</v>
      </c>
      <c r="BF1182" t="e">
        <f t="shared" ca="1" si="56"/>
        <v>#VALUE!</v>
      </c>
    </row>
    <row r="1183" spans="57:58">
      <c r="BE1183" s="19">
        <f t="shared" si="57"/>
        <v>0.81874999999999731</v>
      </c>
      <c r="BF1183" t="e">
        <f t="shared" ca="1" si="56"/>
        <v>#VALUE!</v>
      </c>
    </row>
    <row r="1184" spans="57:58">
      <c r="BE1184" s="19">
        <f t="shared" si="57"/>
        <v>0.81944444444444176</v>
      </c>
      <c r="BF1184" t="e">
        <f t="shared" ca="1" si="56"/>
        <v>#VALUE!</v>
      </c>
    </row>
    <row r="1185" spans="57:58">
      <c r="BE1185" s="19">
        <f t="shared" si="57"/>
        <v>0.8201388888888862</v>
      </c>
      <c r="BF1185" t="e">
        <f t="shared" ca="1" si="56"/>
        <v>#VALUE!</v>
      </c>
    </row>
    <row r="1186" spans="57:58">
      <c r="BE1186" s="19">
        <f t="shared" si="57"/>
        <v>0.82083333333333064</v>
      </c>
      <c r="BF1186" t="e">
        <f t="shared" ca="1" si="56"/>
        <v>#VALUE!</v>
      </c>
    </row>
    <row r="1187" spans="57:58">
      <c r="BE1187" s="19">
        <f t="shared" si="57"/>
        <v>0.82152777777777508</v>
      </c>
      <c r="BF1187" t="e">
        <f t="shared" ca="1" si="56"/>
        <v>#VALUE!</v>
      </c>
    </row>
    <row r="1188" spans="57:58">
      <c r="BE1188" s="19">
        <f t="shared" si="57"/>
        <v>0.82222222222221952</v>
      </c>
      <c r="BF1188" t="e">
        <f t="shared" ca="1" si="56"/>
        <v>#VALUE!</v>
      </c>
    </row>
    <row r="1189" spans="57:58">
      <c r="BE1189" s="19">
        <f t="shared" si="57"/>
        <v>0.82291666666666397</v>
      </c>
      <c r="BF1189" t="e">
        <f t="shared" ca="1" si="56"/>
        <v>#VALUE!</v>
      </c>
    </row>
    <row r="1190" spans="57:58">
      <c r="BE1190" s="19">
        <f t="shared" si="57"/>
        <v>0.82361111111110841</v>
      </c>
      <c r="BF1190" t="e">
        <f t="shared" ca="1" si="56"/>
        <v>#VALUE!</v>
      </c>
    </row>
    <row r="1191" spans="57:58">
      <c r="BE1191" s="19">
        <f t="shared" si="57"/>
        <v>0.82430555555555285</v>
      </c>
      <c r="BF1191" t="e">
        <f t="shared" ca="1" si="56"/>
        <v>#VALUE!</v>
      </c>
    </row>
    <row r="1192" spans="57:58">
      <c r="BE1192" s="19">
        <f t="shared" si="57"/>
        <v>0.82499999999999729</v>
      </c>
      <c r="BF1192" t="e">
        <f t="shared" ca="1" si="56"/>
        <v>#VALUE!</v>
      </c>
    </row>
    <row r="1193" spans="57:58">
      <c r="BE1193" s="19">
        <f t="shared" si="57"/>
        <v>0.82569444444444173</v>
      </c>
      <c r="BF1193" t="e">
        <f t="shared" ca="1" si="56"/>
        <v>#VALUE!</v>
      </c>
    </row>
    <row r="1194" spans="57:58">
      <c r="BE1194" s="19">
        <f t="shared" si="57"/>
        <v>0.82638888888888618</v>
      </c>
      <c r="BF1194" t="e">
        <f t="shared" ca="1" si="56"/>
        <v>#VALUE!</v>
      </c>
    </row>
    <row r="1195" spans="57:58">
      <c r="BE1195" s="19">
        <f t="shared" si="57"/>
        <v>0.82708333333333062</v>
      </c>
      <c r="BF1195" t="e">
        <f t="shared" ca="1" si="56"/>
        <v>#VALUE!</v>
      </c>
    </row>
    <row r="1196" spans="57:58">
      <c r="BE1196" s="19">
        <f t="shared" si="57"/>
        <v>0.82777777777777506</v>
      </c>
      <c r="BF1196" t="e">
        <f t="shared" ca="1" si="56"/>
        <v>#VALUE!</v>
      </c>
    </row>
    <row r="1197" spans="57:58">
      <c r="BE1197" s="19">
        <f t="shared" si="57"/>
        <v>0.8284722222222195</v>
      </c>
      <c r="BF1197" t="e">
        <f t="shared" ca="1" si="56"/>
        <v>#VALUE!</v>
      </c>
    </row>
    <row r="1198" spans="57:58">
      <c r="BE1198" s="19">
        <f t="shared" si="57"/>
        <v>0.82916666666666394</v>
      </c>
      <c r="BF1198" t="e">
        <f t="shared" ca="1" si="56"/>
        <v>#VALUE!</v>
      </c>
    </row>
    <row r="1199" spans="57:58">
      <c r="BE1199" s="19">
        <f t="shared" si="57"/>
        <v>0.82986111111110838</v>
      </c>
      <c r="BF1199" t="e">
        <f t="shared" ca="1" si="56"/>
        <v>#VALUE!</v>
      </c>
    </row>
    <row r="1200" spans="57:58">
      <c r="BE1200" s="19">
        <f t="shared" si="57"/>
        <v>0.83055555555555283</v>
      </c>
      <c r="BF1200" t="e">
        <f t="shared" ca="1" si="56"/>
        <v>#VALUE!</v>
      </c>
    </row>
    <row r="1201" spans="57:58">
      <c r="BE1201" s="19">
        <f t="shared" si="57"/>
        <v>0.83124999999999727</v>
      </c>
      <c r="BF1201" t="e">
        <f t="shared" ca="1" si="56"/>
        <v>#VALUE!</v>
      </c>
    </row>
    <row r="1202" spans="57:58">
      <c r="BE1202" s="19">
        <f t="shared" si="57"/>
        <v>0.83194444444444171</v>
      </c>
      <c r="BF1202" t="e">
        <f t="shared" ca="1" si="56"/>
        <v>#VALUE!</v>
      </c>
    </row>
    <row r="1203" spans="57:58">
      <c r="BE1203" s="19">
        <f t="shared" si="57"/>
        <v>0.83263888888888615</v>
      </c>
      <c r="BF1203" t="e">
        <f t="shared" ca="1" si="56"/>
        <v>#VALUE!</v>
      </c>
    </row>
    <row r="1204" spans="57:58">
      <c r="BE1204" s="19">
        <f t="shared" si="57"/>
        <v>0.83333333333333059</v>
      </c>
      <c r="BF1204" t="e">
        <f t="shared" ca="1" si="56"/>
        <v>#VALUE!</v>
      </c>
    </row>
    <row r="1205" spans="57:58">
      <c r="BE1205" s="19">
        <f t="shared" si="57"/>
        <v>0.83402777777777504</v>
      </c>
      <c r="BF1205" t="e">
        <f t="shared" ca="1" si="56"/>
        <v>#VALUE!</v>
      </c>
    </row>
    <row r="1206" spans="57:58">
      <c r="BE1206" s="19">
        <f t="shared" si="57"/>
        <v>0.83472222222221948</v>
      </c>
      <c r="BF1206" t="e">
        <f t="shared" ca="1" si="56"/>
        <v>#VALUE!</v>
      </c>
    </row>
    <row r="1207" spans="57:58">
      <c r="BE1207" s="19">
        <f t="shared" si="57"/>
        <v>0.83541666666666392</v>
      </c>
      <c r="BF1207" t="e">
        <f t="shared" ca="1" si="56"/>
        <v>#VALUE!</v>
      </c>
    </row>
    <row r="1208" spans="57:58">
      <c r="BE1208" s="19">
        <f t="shared" si="57"/>
        <v>0.83611111111110836</v>
      </c>
      <c r="BF1208" t="e">
        <f t="shared" ca="1" si="56"/>
        <v>#VALUE!</v>
      </c>
    </row>
    <row r="1209" spans="57:58">
      <c r="BE1209" s="19">
        <f t="shared" si="57"/>
        <v>0.8368055555555528</v>
      </c>
      <c r="BF1209" t="e">
        <f t="shared" ca="1" si="56"/>
        <v>#VALUE!</v>
      </c>
    </row>
    <row r="1210" spans="57:58">
      <c r="BE1210" s="19">
        <f t="shared" si="57"/>
        <v>0.83749999999999725</v>
      </c>
      <c r="BF1210" t="e">
        <f t="shared" ca="1" si="56"/>
        <v>#VALUE!</v>
      </c>
    </row>
    <row r="1211" spans="57:58">
      <c r="BE1211" s="19">
        <f t="shared" si="57"/>
        <v>0.83819444444444169</v>
      </c>
      <c r="BF1211" t="e">
        <f t="shared" ca="1" si="56"/>
        <v>#VALUE!</v>
      </c>
    </row>
    <row r="1212" spans="57:58">
      <c r="BE1212" s="19">
        <f t="shared" si="57"/>
        <v>0.83888888888888613</v>
      </c>
      <c r="BF1212" t="e">
        <f t="shared" ca="1" si="56"/>
        <v>#VALUE!</v>
      </c>
    </row>
    <row r="1213" spans="57:58">
      <c r="BE1213" s="19">
        <f t="shared" si="57"/>
        <v>0.83958333333333057</v>
      </c>
      <c r="BF1213" t="e">
        <f t="shared" ca="1" si="56"/>
        <v>#VALUE!</v>
      </c>
    </row>
    <row r="1214" spans="57:58">
      <c r="BE1214" s="19">
        <f t="shared" si="57"/>
        <v>0.84027777777777501</v>
      </c>
      <c r="BF1214" t="e">
        <f t="shared" ca="1" si="56"/>
        <v>#VALUE!</v>
      </c>
    </row>
    <row r="1215" spans="57:58">
      <c r="BE1215" s="19">
        <f t="shared" si="57"/>
        <v>0.84097222222221946</v>
      </c>
      <c r="BF1215" t="e">
        <f t="shared" ca="1" si="56"/>
        <v>#VALUE!</v>
      </c>
    </row>
    <row r="1216" spans="57:58">
      <c r="BE1216" s="19">
        <f t="shared" si="57"/>
        <v>0.8416666666666639</v>
      </c>
      <c r="BF1216" t="e">
        <f t="shared" ca="1" si="56"/>
        <v>#VALUE!</v>
      </c>
    </row>
    <row r="1217" spans="57:58">
      <c r="BE1217" s="19">
        <f t="shared" si="57"/>
        <v>0.84236111111110834</v>
      </c>
      <c r="BF1217" t="e">
        <f t="shared" ca="1" si="56"/>
        <v>#VALUE!</v>
      </c>
    </row>
    <row r="1218" spans="57:58">
      <c r="BE1218" s="19">
        <f t="shared" si="57"/>
        <v>0.84305555555555278</v>
      </c>
      <c r="BF1218" t="e">
        <f t="shared" ca="1" si="56"/>
        <v>#VALUE!</v>
      </c>
    </row>
    <row r="1219" spans="57:58">
      <c r="BE1219" s="19">
        <f t="shared" si="57"/>
        <v>0.84374999999999722</v>
      </c>
      <c r="BF1219" t="e">
        <f t="shared" ca="1" si="56"/>
        <v>#VALUE!</v>
      </c>
    </row>
    <row r="1220" spans="57:58">
      <c r="BE1220" s="19">
        <f t="shared" si="57"/>
        <v>0.84444444444444167</v>
      </c>
      <c r="BF1220" t="e">
        <f t="shared" ca="1" si="56"/>
        <v>#VALUE!</v>
      </c>
    </row>
    <row r="1221" spans="57:58">
      <c r="BE1221" s="19">
        <f t="shared" si="57"/>
        <v>0.84513888888888611</v>
      </c>
      <c r="BF1221" t="e">
        <f t="shared" ref="BF1221:BF1284" ca="1" si="58">IF(BE1221&lt;$B$5-1/1440,0,OFFSET($N$4,(BE1221-$B$4)*1440,0,1,1))</f>
        <v>#VALUE!</v>
      </c>
    </row>
    <row r="1222" spans="57:58">
      <c r="BE1222" s="19">
        <f t="shared" ref="BE1222:BE1285" si="59">BE1221+1/1440</f>
        <v>0.84583333333333055</v>
      </c>
      <c r="BF1222" t="e">
        <f t="shared" ca="1" si="58"/>
        <v>#VALUE!</v>
      </c>
    </row>
    <row r="1223" spans="57:58">
      <c r="BE1223" s="19">
        <f t="shared" si="59"/>
        <v>0.84652777777777499</v>
      </c>
      <c r="BF1223" t="e">
        <f t="shared" ca="1" si="58"/>
        <v>#VALUE!</v>
      </c>
    </row>
    <row r="1224" spans="57:58">
      <c r="BE1224" s="19">
        <f t="shared" si="59"/>
        <v>0.84722222222221943</v>
      </c>
      <c r="BF1224" t="e">
        <f t="shared" ca="1" si="58"/>
        <v>#VALUE!</v>
      </c>
    </row>
    <row r="1225" spans="57:58">
      <c r="BE1225" s="19">
        <f t="shared" si="59"/>
        <v>0.84791666666666388</v>
      </c>
      <c r="BF1225" t="e">
        <f t="shared" ca="1" si="58"/>
        <v>#VALUE!</v>
      </c>
    </row>
    <row r="1226" spans="57:58">
      <c r="BE1226" s="19">
        <f t="shared" si="59"/>
        <v>0.84861111111110832</v>
      </c>
      <c r="BF1226" t="e">
        <f t="shared" ca="1" si="58"/>
        <v>#VALUE!</v>
      </c>
    </row>
    <row r="1227" spans="57:58">
      <c r="BE1227" s="19">
        <f t="shared" si="59"/>
        <v>0.84930555555555276</v>
      </c>
      <c r="BF1227" t="e">
        <f t="shared" ca="1" si="58"/>
        <v>#VALUE!</v>
      </c>
    </row>
    <row r="1228" spans="57:58">
      <c r="BE1228" s="19">
        <f t="shared" si="59"/>
        <v>0.8499999999999972</v>
      </c>
      <c r="BF1228" t="e">
        <f t="shared" ca="1" si="58"/>
        <v>#VALUE!</v>
      </c>
    </row>
    <row r="1229" spans="57:58">
      <c r="BE1229" s="19">
        <f t="shared" si="59"/>
        <v>0.85069444444444164</v>
      </c>
      <c r="BF1229" t="e">
        <f t="shared" ca="1" si="58"/>
        <v>#VALUE!</v>
      </c>
    </row>
    <row r="1230" spans="57:58">
      <c r="BE1230" s="19">
        <f t="shared" si="59"/>
        <v>0.85138888888888609</v>
      </c>
      <c r="BF1230" t="e">
        <f t="shared" ca="1" si="58"/>
        <v>#VALUE!</v>
      </c>
    </row>
    <row r="1231" spans="57:58">
      <c r="BE1231" s="19">
        <f t="shared" si="59"/>
        <v>0.85208333333333053</v>
      </c>
      <c r="BF1231" t="e">
        <f t="shared" ca="1" si="58"/>
        <v>#VALUE!</v>
      </c>
    </row>
    <row r="1232" spans="57:58">
      <c r="BE1232" s="19">
        <f t="shared" si="59"/>
        <v>0.85277777777777497</v>
      </c>
      <c r="BF1232" t="e">
        <f t="shared" ca="1" si="58"/>
        <v>#VALUE!</v>
      </c>
    </row>
    <row r="1233" spans="57:58">
      <c r="BE1233" s="19">
        <f t="shared" si="59"/>
        <v>0.85347222222221941</v>
      </c>
      <c r="BF1233" t="e">
        <f t="shared" ca="1" si="58"/>
        <v>#VALUE!</v>
      </c>
    </row>
    <row r="1234" spans="57:58">
      <c r="BE1234" s="19">
        <f t="shared" si="59"/>
        <v>0.85416666666666385</v>
      </c>
      <c r="BF1234" t="e">
        <f t="shared" ca="1" si="58"/>
        <v>#VALUE!</v>
      </c>
    </row>
    <row r="1235" spans="57:58">
      <c r="BE1235" s="19">
        <f t="shared" si="59"/>
        <v>0.8548611111111083</v>
      </c>
      <c r="BF1235" t="e">
        <f t="shared" ca="1" si="58"/>
        <v>#VALUE!</v>
      </c>
    </row>
    <row r="1236" spans="57:58">
      <c r="BE1236" s="19">
        <f t="shared" si="59"/>
        <v>0.85555555555555274</v>
      </c>
      <c r="BF1236" t="e">
        <f t="shared" ca="1" si="58"/>
        <v>#VALUE!</v>
      </c>
    </row>
    <row r="1237" spans="57:58">
      <c r="BE1237" s="19">
        <f t="shared" si="59"/>
        <v>0.85624999999999718</v>
      </c>
      <c r="BF1237" t="e">
        <f t="shared" ca="1" si="58"/>
        <v>#VALUE!</v>
      </c>
    </row>
    <row r="1238" spans="57:58">
      <c r="BE1238" s="19">
        <f t="shared" si="59"/>
        <v>0.85694444444444162</v>
      </c>
      <c r="BF1238" t="e">
        <f t="shared" ca="1" si="58"/>
        <v>#VALUE!</v>
      </c>
    </row>
    <row r="1239" spans="57:58">
      <c r="BE1239" s="19">
        <f t="shared" si="59"/>
        <v>0.85763888888888606</v>
      </c>
      <c r="BF1239" t="e">
        <f t="shared" ca="1" si="58"/>
        <v>#VALUE!</v>
      </c>
    </row>
    <row r="1240" spans="57:58">
      <c r="BE1240" s="19">
        <f t="shared" si="59"/>
        <v>0.85833333333333051</v>
      </c>
      <c r="BF1240" t="e">
        <f t="shared" ca="1" si="58"/>
        <v>#VALUE!</v>
      </c>
    </row>
    <row r="1241" spans="57:58">
      <c r="BE1241" s="19">
        <f t="shared" si="59"/>
        <v>0.85902777777777495</v>
      </c>
      <c r="BF1241" t="e">
        <f t="shared" ca="1" si="58"/>
        <v>#VALUE!</v>
      </c>
    </row>
    <row r="1242" spans="57:58">
      <c r="BE1242" s="19">
        <f t="shared" si="59"/>
        <v>0.85972222222221939</v>
      </c>
      <c r="BF1242" t="e">
        <f t="shared" ca="1" si="58"/>
        <v>#VALUE!</v>
      </c>
    </row>
    <row r="1243" spans="57:58">
      <c r="BE1243" s="19">
        <f t="shared" si="59"/>
        <v>0.86041666666666383</v>
      </c>
      <c r="BF1243" t="e">
        <f t="shared" ca="1" si="58"/>
        <v>#VALUE!</v>
      </c>
    </row>
    <row r="1244" spans="57:58">
      <c r="BE1244" s="19">
        <f t="shared" si="59"/>
        <v>0.86111111111110827</v>
      </c>
      <c r="BF1244" t="e">
        <f t="shared" ca="1" si="58"/>
        <v>#VALUE!</v>
      </c>
    </row>
    <row r="1245" spans="57:58">
      <c r="BE1245" s="19">
        <f t="shared" si="59"/>
        <v>0.86180555555555272</v>
      </c>
      <c r="BF1245" t="e">
        <f t="shared" ca="1" si="58"/>
        <v>#VALUE!</v>
      </c>
    </row>
    <row r="1246" spans="57:58">
      <c r="BE1246" s="19">
        <f t="shared" si="59"/>
        <v>0.86249999999999716</v>
      </c>
      <c r="BF1246" t="e">
        <f t="shared" ca="1" si="58"/>
        <v>#VALUE!</v>
      </c>
    </row>
    <row r="1247" spans="57:58">
      <c r="BE1247" s="19">
        <f t="shared" si="59"/>
        <v>0.8631944444444416</v>
      </c>
      <c r="BF1247" t="e">
        <f t="shared" ca="1" si="58"/>
        <v>#VALUE!</v>
      </c>
    </row>
    <row r="1248" spans="57:58">
      <c r="BE1248" s="19">
        <f t="shared" si="59"/>
        <v>0.86388888888888604</v>
      </c>
      <c r="BF1248" t="e">
        <f t="shared" ca="1" si="58"/>
        <v>#VALUE!</v>
      </c>
    </row>
    <row r="1249" spans="57:58">
      <c r="BE1249" s="19">
        <f t="shared" si="59"/>
        <v>0.86458333333333048</v>
      </c>
      <c r="BF1249" t="e">
        <f t="shared" ca="1" si="58"/>
        <v>#VALUE!</v>
      </c>
    </row>
    <row r="1250" spans="57:58">
      <c r="BE1250" s="19">
        <f t="shared" si="59"/>
        <v>0.86527777777777493</v>
      </c>
      <c r="BF1250" t="e">
        <f t="shared" ca="1" si="58"/>
        <v>#VALUE!</v>
      </c>
    </row>
    <row r="1251" spans="57:58">
      <c r="BE1251" s="19">
        <f t="shared" si="59"/>
        <v>0.86597222222221937</v>
      </c>
      <c r="BF1251" t="e">
        <f t="shared" ca="1" si="58"/>
        <v>#VALUE!</v>
      </c>
    </row>
    <row r="1252" spans="57:58">
      <c r="BE1252" s="19">
        <f t="shared" si="59"/>
        <v>0.86666666666666381</v>
      </c>
      <c r="BF1252" t="e">
        <f t="shared" ca="1" si="58"/>
        <v>#VALUE!</v>
      </c>
    </row>
    <row r="1253" spans="57:58">
      <c r="BE1253" s="19">
        <f t="shared" si="59"/>
        <v>0.86736111111110825</v>
      </c>
      <c r="BF1253" t="e">
        <f t="shared" ca="1" si="58"/>
        <v>#VALUE!</v>
      </c>
    </row>
    <row r="1254" spans="57:58">
      <c r="BE1254" s="19">
        <f t="shared" si="59"/>
        <v>0.86805555555555269</v>
      </c>
      <c r="BF1254" t="e">
        <f t="shared" ca="1" si="58"/>
        <v>#VALUE!</v>
      </c>
    </row>
    <row r="1255" spans="57:58">
      <c r="BE1255" s="19">
        <f t="shared" si="59"/>
        <v>0.86874999999999714</v>
      </c>
      <c r="BF1255" t="e">
        <f t="shared" ca="1" si="58"/>
        <v>#VALUE!</v>
      </c>
    </row>
    <row r="1256" spans="57:58">
      <c r="BE1256" s="19">
        <f t="shared" si="59"/>
        <v>0.86944444444444158</v>
      </c>
      <c r="BF1256" t="e">
        <f t="shared" ca="1" si="58"/>
        <v>#VALUE!</v>
      </c>
    </row>
    <row r="1257" spans="57:58">
      <c r="BE1257" s="19">
        <f t="shared" si="59"/>
        <v>0.87013888888888602</v>
      </c>
      <c r="BF1257" t="e">
        <f t="shared" ca="1" si="58"/>
        <v>#VALUE!</v>
      </c>
    </row>
    <row r="1258" spans="57:58">
      <c r="BE1258" s="19">
        <f t="shared" si="59"/>
        <v>0.87083333333333046</v>
      </c>
      <c r="BF1258" t="e">
        <f t="shared" ca="1" si="58"/>
        <v>#VALUE!</v>
      </c>
    </row>
    <row r="1259" spans="57:58">
      <c r="BE1259" s="19">
        <f t="shared" si="59"/>
        <v>0.8715277777777749</v>
      </c>
      <c r="BF1259" t="e">
        <f t="shared" ca="1" si="58"/>
        <v>#VALUE!</v>
      </c>
    </row>
    <row r="1260" spans="57:58">
      <c r="BE1260" s="19">
        <f t="shared" si="59"/>
        <v>0.87222222222221935</v>
      </c>
      <c r="BF1260" t="e">
        <f t="shared" ca="1" si="58"/>
        <v>#VALUE!</v>
      </c>
    </row>
    <row r="1261" spans="57:58">
      <c r="BE1261" s="19">
        <f t="shared" si="59"/>
        <v>0.87291666666666379</v>
      </c>
      <c r="BF1261" t="e">
        <f t="shared" ca="1" si="58"/>
        <v>#VALUE!</v>
      </c>
    </row>
    <row r="1262" spans="57:58">
      <c r="BE1262" s="19">
        <f t="shared" si="59"/>
        <v>0.87361111111110823</v>
      </c>
      <c r="BF1262" t="e">
        <f t="shared" ca="1" si="58"/>
        <v>#VALUE!</v>
      </c>
    </row>
    <row r="1263" spans="57:58">
      <c r="BE1263" s="19">
        <f t="shared" si="59"/>
        <v>0.87430555555555267</v>
      </c>
      <c r="BF1263" t="e">
        <f t="shared" ca="1" si="58"/>
        <v>#VALUE!</v>
      </c>
    </row>
    <row r="1264" spans="57:58">
      <c r="BE1264" s="19">
        <f t="shared" si="59"/>
        <v>0.87499999999999711</v>
      </c>
      <c r="BF1264" t="e">
        <f t="shared" ca="1" si="58"/>
        <v>#VALUE!</v>
      </c>
    </row>
    <row r="1265" spans="57:58">
      <c r="BE1265" s="19">
        <f t="shared" si="59"/>
        <v>0.87569444444444156</v>
      </c>
      <c r="BF1265" t="e">
        <f t="shared" ca="1" si="58"/>
        <v>#VALUE!</v>
      </c>
    </row>
    <row r="1266" spans="57:58">
      <c r="BE1266" s="19">
        <f t="shared" si="59"/>
        <v>0.876388888888886</v>
      </c>
      <c r="BF1266" t="e">
        <f t="shared" ca="1" si="58"/>
        <v>#VALUE!</v>
      </c>
    </row>
    <row r="1267" spans="57:58">
      <c r="BE1267" s="19">
        <f t="shared" si="59"/>
        <v>0.87708333333333044</v>
      </c>
      <c r="BF1267" t="e">
        <f t="shared" ca="1" si="58"/>
        <v>#VALUE!</v>
      </c>
    </row>
    <row r="1268" spans="57:58">
      <c r="BE1268" s="19">
        <f t="shared" si="59"/>
        <v>0.87777777777777488</v>
      </c>
      <c r="BF1268" t="e">
        <f t="shared" ca="1" si="58"/>
        <v>#VALUE!</v>
      </c>
    </row>
    <row r="1269" spans="57:58">
      <c r="BE1269" s="19">
        <f t="shared" si="59"/>
        <v>0.87847222222221932</v>
      </c>
      <c r="BF1269" t="e">
        <f t="shared" ca="1" si="58"/>
        <v>#VALUE!</v>
      </c>
    </row>
    <row r="1270" spans="57:58">
      <c r="BE1270" s="19">
        <f t="shared" si="59"/>
        <v>0.87916666666666377</v>
      </c>
      <c r="BF1270" t="e">
        <f t="shared" ca="1" si="58"/>
        <v>#VALUE!</v>
      </c>
    </row>
    <row r="1271" spans="57:58">
      <c r="BE1271" s="19">
        <f t="shared" si="59"/>
        <v>0.87986111111110821</v>
      </c>
      <c r="BF1271" t="e">
        <f t="shared" ca="1" si="58"/>
        <v>#VALUE!</v>
      </c>
    </row>
    <row r="1272" spans="57:58">
      <c r="BE1272" s="19">
        <f t="shared" si="59"/>
        <v>0.88055555555555265</v>
      </c>
      <c r="BF1272" t="e">
        <f t="shared" ca="1" si="58"/>
        <v>#VALUE!</v>
      </c>
    </row>
    <row r="1273" spans="57:58">
      <c r="BE1273" s="19">
        <f t="shared" si="59"/>
        <v>0.88124999999999709</v>
      </c>
      <c r="BF1273" t="e">
        <f t="shared" ca="1" si="58"/>
        <v>#VALUE!</v>
      </c>
    </row>
    <row r="1274" spans="57:58">
      <c r="BE1274" s="19">
        <f t="shared" si="59"/>
        <v>0.88194444444444153</v>
      </c>
      <c r="BF1274" t="e">
        <f t="shared" ca="1" si="58"/>
        <v>#VALUE!</v>
      </c>
    </row>
    <row r="1275" spans="57:58">
      <c r="BE1275" s="19">
        <f t="shared" si="59"/>
        <v>0.88263888888888598</v>
      </c>
      <c r="BF1275" t="e">
        <f t="shared" ca="1" si="58"/>
        <v>#VALUE!</v>
      </c>
    </row>
    <row r="1276" spans="57:58">
      <c r="BE1276" s="19">
        <f t="shared" si="59"/>
        <v>0.88333333333333042</v>
      </c>
      <c r="BF1276" t="e">
        <f t="shared" ca="1" si="58"/>
        <v>#VALUE!</v>
      </c>
    </row>
    <row r="1277" spans="57:58">
      <c r="BE1277" s="19">
        <f t="shared" si="59"/>
        <v>0.88402777777777486</v>
      </c>
      <c r="BF1277" t="e">
        <f t="shared" ca="1" si="58"/>
        <v>#VALUE!</v>
      </c>
    </row>
    <row r="1278" spans="57:58">
      <c r="BE1278" s="19">
        <f t="shared" si="59"/>
        <v>0.8847222222222193</v>
      </c>
      <c r="BF1278" t="e">
        <f t="shared" ca="1" si="58"/>
        <v>#VALUE!</v>
      </c>
    </row>
    <row r="1279" spans="57:58">
      <c r="BE1279" s="19">
        <f t="shared" si="59"/>
        <v>0.88541666666666374</v>
      </c>
      <c r="BF1279" t="e">
        <f t="shared" ca="1" si="58"/>
        <v>#VALUE!</v>
      </c>
    </row>
    <row r="1280" spans="57:58">
      <c r="BE1280" s="19">
        <f t="shared" si="59"/>
        <v>0.88611111111110819</v>
      </c>
      <c r="BF1280" t="e">
        <f t="shared" ca="1" si="58"/>
        <v>#VALUE!</v>
      </c>
    </row>
    <row r="1281" spans="57:58">
      <c r="BE1281" s="19">
        <f t="shared" si="59"/>
        <v>0.88680555555555263</v>
      </c>
      <c r="BF1281" t="e">
        <f t="shared" ca="1" si="58"/>
        <v>#VALUE!</v>
      </c>
    </row>
    <row r="1282" spans="57:58">
      <c r="BE1282" s="19">
        <f t="shared" si="59"/>
        <v>0.88749999999999707</v>
      </c>
      <c r="BF1282" t="e">
        <f t="shared" ca="1" si="58"/>
        <v>#VALUE!</v>
      </c>
    </row>
    <row r="1283" spans="57:58">
      <c r="BE1283" s="19">
        <f t="shared" si="59"/>
        <v>0.88819444444444151</v>
      </c>
      <c r="BF1283" t="e">
        <f t="shared" ca="1" si="58"/>
        <v>#VALUE!</v>
      </c>
    </row>
    <row r="1284" spans="57:58">
      <c r="BE1284" s="19">
        <f t="shared" si="59"/>
        <v>0.88888888888888595</v>
      </c>
      <c r="BF1284" t="e">
        <f t="shared" ca="1" si="58"/>
        <v>#VALUE!</v>
      </c>
    </row>
    <row r="1285" spans="57:58">
      <c r="BE1285" s="19">
        <f t="shared" si="59"/>
        <v>0.88958333333333039</v>
      </c>
      <c r="BF1285" t="e">
        <f t="shared" ref="BF1285:BF1348" ca="1" si="60">IF(BE1285&lt;$B$5-1/1440,0,OFFSET($N$4,(BE1285-$B$4)*1440,0,1,1))</f>
        <v>#VALUE!</v>
      </c>
    </row>
    <row r="1286" spans="57:58">
      <c r="BE1286" s="19">
        <f t="shared" ref="BE1286:BE1349" si="61">BE1285+1/1440</f>
        <v>0.89027777777777484</v>
      </c>
      <c r="BF1286" t="e">
        <f t="shared" ca="1" si="60"/>
        <v>#VALUE!</v>
      </c>
    </row>
    <row r="1287" spans="57:58">
      <c r="BE1287" s="19">
        <f t="shared" si="61"/>
        <v>0.89097222222221928</v>
      </c>
      <c r="BF1287" t="e">
        <f t="shared" ca="1" si="60"/>
        <v>#VALUE!</v>
      </c>
    </row>
    <row r="1288" spans="57:58">
      <c r="BE1288" s="19">
        <f t="shared" si="61"/>
        <v>0.89166666666666372</v>
      </c>
      <c r="BF1288" t="e">
        <f t="shared" ca="1" si="60"/>
        <v>#VALUE!</v>
      </c>
    </row>
    <row r="1289" spans="57:58">
      <c r="BE1289" s="19">
        <f t="shared" si="61"/>
        <v>0.89236111111110816</v>
      </c>
      <c r="BF1289" t="e">
        <f t="shared" ca="1" si="60"/>
        <v>#VALUE!</v>
      </c>
    </row>
    <row r="1290" spans="57:58">
      <c r="BE1290" s="19">
        <f t="shared" si="61"/>
        <v>0.8930555555555526</v>
      </c>
      <c r="BF1290" t="e">
        <f t="shared" ca="1" si="60"/>
        <v>#VALUE!</v>
      </c>
    </row>
    <row r="1291" spans="57:58">
      <c r="BE1291" s="19">
        <f t="shared" si="61"/>
        <v>0.89374999999999705</v>
      </c>
      <c r="BF1291" t="e">
        <f t="shared" ca="1" si="60"/>
        <v>#VALUE!</v>
      </c>
    </row>
    <row r="1292" spans="57:58">
      <c r="BE1292" s="19">
        <f t="shared" si="61"/>
        <v>0.89444444444444149</v>
      </c>
      <c r="BF1292" t="e">
        <f t="shared" ca="1" si="60"/>
        <v>#VALUE!</v>
      </c>
    </row>
    <row r="1293" spans="57:58">
      <c r="BE1293" s="19">
        <f t="shared" si="61"/>
        <v>0.89513888888888593</v>
      </c>
      <c r="BF1293" t="e">
        <f t="shared" ca="1" si="60"/>
        <v>#VALUE!</v>
      </c>
    </row>
    <row r="1294" spans="57:58">
      <c r="BE1294" s="19">
        <f t="shared" si="61"/>
        <v>0.89583333333333037</v>
      </c>
      <c r="BF1294" t="e">
        <f t="shared" ca="1" si="60"/>
        <v>#VALUE!</v>
      </c>
    </row>
    <row r="1295" spans="57:58">
      <c r="BE1295" s="19">
        <f t="shared" si="61"/>
        <v>0.89652777777777481</v>
      </c>
      <c r="BF1295" t="e">
        <f t="shared" ca="1" si="60"/>
        <v>#VALUE!</v>
      </c>
    </row>
    <row r="1296" spans="57:58">
      <c r="BE1296" s="19">
        <f t="shared" si="61"/>
        <v>0.89722222222221926</v>
      </c>
      <c r="BF1296" t="e">
        <f t="shared" ca="1" si="60"/>
        <v>#VALUE!</v>
      </c>
    </row>
    <row r="1297" spans="57:58">
      <c r="BE1297" s="19">
        <f t="shared" si="61"/>
        <v>0.8979166666666637</v>
      </c>
      <c r="BF1297" t="e">
        <f t="shared" ca="1" si="60"/>
        <v>#VALUE!</v>
      </c>
    </row>
    <row r="1298" spans="57:58">
      <c r="BE1298" s="19">
        <f t="shared" si="61"/>
        <v>0.89861111111110814</v>
      </c>
      <c r="BF1298" t="e">
        <f t="shared" ca="1" si="60"/>
        <v>#VALUE!</v>
      </c>
    </row>
    <row r="1299" spans="57:58">
      <c r="BE1299" s="19">
        <f t="shared" si="61"/>
        <v>0.89930555555555258</v>
      </c>
      <c r="BF1299" t="e">
        <f t="shared" ca="1" si="60"/>
        <v>#VALUE!</v>
      </c>
    </row>
    <row r="1300" spans="57:58">
      <c r="BE1300" s="19">
        <f t="shared" si="61"/>
        <v>0.89999999999999702</v>
      </c>
      <c r="BF1300" t="e">
        <f t="shared" ca="1" si="60"/>
        <v>#VALUE!</v>
      </c>
    </row>
    <row r="1301" spans="57:58">
      <c r="BE1301" s="19">
        <f t="shared" si="61"/>
        <v>0.90069444444444147</v>
      </c>
      <c r="BF1301" t="e">
        <f t="shared" ca="1" si="60"/>
        <v>#VALUE!</v>
      </c>
    </row>
    <row r="1302" spans="57:58">
      <c r="BE1302" s="19">
        <f t="shared" si="61"/>
        <v>0.90138888888888591</v>
      </c>
      <c r="BF1302" t="e">
        <f t="shared" ca="1" si="60"/>
        <v>#VALUE!</v>
      </c>
    </row>
    <row r="1303" spans="57:58">
      <c r="BE1303" s="19">
        <f t="shared" si="61"/>
        <v>0.90208333333333035</v>
      </c>
      <c r="BF1303" t="e">
        <f t="shared" ca="1" si="60"/>
        <v>#VALUE!</v>
      </c>
    </row>
    <row r="1304" spans="57:58">
      <c r="BE1304" s="19">
        <f t="shared" si="61"/>
        <v>0.90277777777777479</v>
      </c>
      <c r="BF1304" t="e">
        <f t="shared" ca="1" si="60"/>
        <v>#VALUE!</v>
      </c>
    </row>
    <row r="1305" spans="57:58">
      <c r="BE1305" s="19">
        <f t="shared" si="61"/>
        <v>0.90347222222221923</v>
      </c>
      <c r="BF1305" t="e">
        <f t="shared" ca="1" si="60"/>
        <v>#VALUE!</v>
      </c>
    </row>
    <row r="1306" spans="57:58">
      <c r="BE1306" s="19">
        <f t="shared" si="61"/>
        <v>0.90416666666666368</v>
      </c>
      <c r="BF1306" t="e">
        <f t="shared" ca="1" si="60"/>
        <v>#VALUE!</v>
      </c>
    </row>
    <row r="1307" spans="57:58">
      <c r="BE1307" s="19">
        <f t="shared" si="61"/>
        <v>0.90486111111110812</v>
      </c>
      <c r="BF1307" t="e">
        <f t="shared" ca="1" si="60"/>
        <v>#VALUE!</v>
      </c>
    </row>
    <row r="1308" spans="57:58">
      <c r="BE1308" s="19">
        <f t="shared" si="61"/>
        <v>0.90555555555555256</v>
      </c>
      <c r="BF1308" t="e">
        <f t="shared" ca="1" si="60"/>
        <v>#VALUE!</v>
      </c>
    </row>
    <row r="1309" spans="57:58">
      <c r="BE1309" s="19">
        <f t="shared" si="61"/>
        <v>0.906249999999997</v>
      </c>
      <c r="BF1309" t="e">
        <f t="shared" ca="1" si="60"/>
        <v>#VALUE!</v>
      </c>
    </row>
    <row r="1310" spans="57:58">
      <c r="BE1310" s="19">
        <f t="shared" si="61"/>
        <v>0.90694444444444144</v>
      </c>
      <c r="BF1310" t="e">
        <f t="shared" ca="1" si="60"/>
        <v>#VALUE!</v>
      </c>
    </row>
    <row r="1311" spans="57:58">
      <c r="BE1311" s="19">
        <f t="shared" si="61"/>
        <v>0.90763888888888589</v>
      </c>
      <c r="BF1311" t="e">
        <f t="shared" ca="1" si="60"/>
        <v>#VALUE!</v>
      </c>
    </row>
    <row r="1312" spans="57:58">
      <c r="BE1312" s="19">
        <f t="shared" si="61"/>
        <v>0.90833333333333033</v>
      </c>
      <c r="BF1312" t="e">
        <f t="shared" ca="1" si="60"/>
        <v>#VALUE!</v>
      </c>
    </row>
    <row r="1313" spans="57:58">
      <c r="BE1313" s="19">
        <f t="shared" si="61"/>
        <v>0.90902777777777477</v>
      </c>
      <c r="BF1313" t="e">
        <f t="shared" ca="1" si="60"/>
        <v>#VALUE!</v>
      </c>
    </row>
    <row r="1314" spans="57:58">
      <c r="BE1314" s="19">
        <f t="shared" si="61"/>
        <v>0.90972222222221921</v>
      </c>
      <c r="BF1314" t="e">
        <f t="shared" ca="1" si="60"/>
        <v>#VALUE!</v>
      </c>
    </row>
    <row r="1315" spans="57:58">
      <c r="BE1315" s="19">
        <f t="shared" si="61"/>
        <v>0.91041666666666365</v>
      </c>
      <c r="BF1315" t="e">
        <f t="shared" ca="1" si="60"/>
        <v>#VALUE!</v>
      </c>
    </row>
    <row r="1316" spans="57:58">
      <c r="BE1316" s="19">
        <f t="shared" si="61"/>
        <v>0.9111111111111081</v>
      </c>
      <c r="BF1316" t="e">
        <f t="shared" ca="1" si="60"/>
        <v>#VALUE!</v>
      </c>
    </row>
    <row r="1317" spans="57:58">
      <c r="BE1317" s="19">
        <f t="shared" si="61"/>
        <v>0.91180555555555254</v>
      </c>
      <c r="BF1317" t="e">
        <f t="shared" ca="1" si="60"/>
        <v>#VALUE!</v>
      </c>
    </row>
    <row r="1318" spans="57:58">
      <c r="BE1318" s="19">
        <f t="shared" si="61"/>
        <v>0.91249999999999698</v>
      </c>
      <c r="BF1318" t="e">
        <f t="shared" ca="1" si="60"/>
        <v>#VALUE!</v>
      </c>
    </row>
    <row r="1319" spans="57:58">
      <c r="BE1319" s="19">
        <f t="shared" si="61"/>
        <v>0.91319444444444142</v>
      </c>
      <c r="BF1319" t="e">
        <f t="shared" ca="1" si="60"/>
        <v>#VALUE!</v>
      </c>
    </row>
    <row r="1320" spans="57:58">
      <c r="BE1320" s="19">
        <f t="shared" si="61"/>
        <v>0.91388888888888586</v>
      </c>
      <c r="BF1320" t="e">
        <f t="shared" ca="1" si="60"/>
        <v>#VALUE!</v>
      </c>
    </row>
    <row r="1321" spans="57:58">
      <c r="BE1321" s="19">
        <f t="shared" si="61"/>
        <v>0.91458333333333031</v>
      </c>
      <c r="BF1321" t="e">
        <f t="shared" ca="1" si="60"/>
        <v>#VALUE!</v>
      </c>
    </row>
    <row r="1322" spans="57:58">
      <c r="BE1322" s="19">
        <f t="shared" si="61"/>
        <v>0.91527777777777475</v>
      </c>
      <c r="BF1322" t="e">
        <f t="shared" ca="1" si="60"/>
        <v>#VALUE!</v>
      </c>
    </row>
    <row r="1323" spans="57:58">
      <c r="BE1323" s="19">
        <f t="shared" si="61"/>
        <v>0.91597222222221919</v>
      </c>
      <c r="BF1323" t="e">
        <f t="shared" ca="1" si="60"/>
        <v>#VALUE!</v>
      </c>
    </row>
    <row r="1324" spans="57:58">
      <c r="BE1324" s="19">
        <f t="shared" si="61"/>
        <v>0.91666666666666363</v>
      </c>
      <c r="BF1324" t="e">
        <f t="shared" ca="1" si="60"/>
        <v>#VALUE!</v>
      </c>
    </row>
    <row r="1325" spans="57:58">
      <c r="BE1325" s="19">
        <f t="shared" si="61"/>
        <v>0.91736111111110807</v>
      </c>
      <c r="BF1325" t="e">
        <f t="shared" ca="1" si="60"/>
        <v>#VALUE!</v>
      </c>
    </row>
    <row r="1326" spans="57:58">
      <c r="BE1326" s="19">
        <f t="shared" si="61"/>
        <v>0.91805555555555252</v>
      </c>
      <c r="BF1326" t="e">
        <f t="shared" ca="1" si="60"/>
        <v>#VALUE!</v>
      </c>
    </row>
    <row r="1327" spans="57:58">
      <c r="BE1327" s="19">
        <f t="shared" si="61"/>
        <v>0.91874999999999696</v>
      </c>
      <c r="BF1327" t="e">
        <f t="shared" ca="1" si="60"/>
        <v>#VALUE!</v>
      </c>
    </row>
    <row r="1328" spans="57:58">
      <c r="BE1328" s="19">
        <f t="shared" si="61"/>
        <v>0.9194444444444414</v>
      </c>
      <c r="BF1328" t="e">
        <f t="shared" ca="1" si="60"/>
        <v>#VALUE!</v>
      </c>
    </row>
    <row r="1329" spans="57:58">
      <c r="BE1329" s="19">
        <f t="shared" si="61"/>
        <v>0.92013888888888584</v>
      </c>
      <c r="BF1329" t="e">
        <f t="shared" ca="1" si="60"/>
        <v>#VALUE!</v>
      </c>
    </row>
    <row r="1330" spans="57:58">
      <c r="BE1330" s="19">
        <f t="shared" si="61"/>
        <v>0.92083333333333028</v>
      </c>
      <c r="BF1330" t="e">
        <f t="shared" ca="1" si="60"/>
        <v>#VALUE!</v>
      </c>
    </row>
    <row r="1331" spans="57:58">
      <c r="BE1331" s="19">
        <f t="shared" si="61"/>
        <v>0.92152777777777473</v>
      </c>
      <c r="BF1331" t="e">
        <f t="shared" ca="1" si="60"/>
        <v>#VALUE!</v>
      </c>
    </row>
    <row r="1332" spans="57:58">
      <c r="BE1332" s="19">
        <f t="shared" si="61"/>
        <v>0.92222222222221917</v>
      </c>
      <c r="BF1332" t="e">
        <f t="shared" ca="1" si="60"/>
        <v>#VALUE!</v>
      </c>
    </row>
    <row r="1333" spans="57:58">
      <c r="BE1333" s="19">
        <f t="shared" si="61"/>
        <v>0.92291666666666361</v>
      </c>
      <c r="BF1333" t="e">
        <f t="shared" ca="1" si="60"/>
        <v>#VALUE!</v>
      </c>
    </row>
    <row r="1334" spans="57:58">
      <c r="BE1334" s="19">
        <f t="shared" si="61"/>
        <v>0.92361111111110805</v>
      </c>
      <c r="BF1334" t="e">
        <f t="shared" ca="1" si="60"/>
        <v>#VALUE!</v>
      </c>
    </row>
    <row r="1335" spans="57:58">
      <c r="BE1335" s="19">
        <f t="shared" si="61"/>
        <v>0.92430555555555249</v>
      </c>
      <c r="BF1335" t="e">
        <f t="shared" ca="1" si="60"/>
        <v>#VALUE!</v>
      </c>
    </row>
    <row r="1336" spans="57:58">
      <c r="BE1336" s="19">
        <f t="shared" si="61"/>
        <v>0.92499999999999694</v>
      </c>
      <c r="BF1336" t="e">
        <f t="shared" ca="1" si="60"/>
        <v>#VALUE!</v>
      </c>
    </row>
    <row r="1337" spans="57:58">
      <c r="BE1337" s="19">
        <f t="shared" si="61"/>
        <v>0.92569444444444138</v>
      </c>
      <c r="BF1337" t="e">
        <f t="shared" ca="1" si="60"/>
        <v>#VALUE!</v>
      </c>
    </row>
    <row r="1338" spans="57:58">
      <c r="BE1338" s="19">
        <f t="shared" si="61"/>
        <v>0.92638888888888582</v>
      </c>
      <c r="BF1338" t="e">
        <f t="shared" ca="1" si="60"/>
        <v>#VALUE!</v>
      </c>
    </row>
    <row r="1339" spans="57:58">
      <c r="BE1339" s="19">
        <f t="shared" si="61"/>
        <v>0.92708333333333026</v>
      </c>
      <c r="BF1339" t="e">
        <f t="shared" ca="1" si="60"/>
        <v>#VALUE!</v>
      </c>
    </row>
    <row r="1340" spans="57:58">
      <c r="BE1340" s="19">
        <f t="shared" si="61"/>
        <v>0.9277777777777747</v>
      </c>
      <c r="BF1340" t="e">
        <f t="shared" ca="1" si="60"/>
        <v>#VALUE!</v>
      </c>
    </row>
    <row r="1341" spans="57:58">
      <c r="BE1341" s="19">
        <f t="shared" si="61"/>
        <v>0.92847222222221915</v>
      </c>
      <c r="BF1341" t="e">
        <f t="shared" ca="1" si="60"/>
        <v>#VALUE!</v>
      </c>
    </row>
    <row r="1342" spans="57:58">
      <c r="BE1342" s="19">
        <f t="shared" si="61"/>
        <v>0.92916666666666359</v>
      </c>
      <c r="BF1342" t="e">
        <f t="shared" ca="1" si="60"/>
        <v>#VALUE!</v>
      </c>
    </row>
    <row r="1343" spans="57:58">
      <c r="BE1343" s="19">
        <f t="shared" si="61"/>
        <v>0.92986111111110803</v>
      </c>
      <c r="BF1343" t="e">
        <f t="shared" ca="1" si="60"/>
        <v>#VALUE!</v>
      </c>
    </row>
    <row r="1344" spans="57:58">
      <c r="BE1344" s="19">
        <f t="shared" si="61"/>
        <v>0.93055555555555247</v>
      </c>
      <c r="BF1344" t="e">
        <f t="shared" ca="1" si="60"/>
        <v>#VALUE!</v>
      </c>
    </row>
    <row r="1345" spans="57:58">
      <c r="BE1345" s="19">
        <f t="shared" si="61"/>
        <v>0.93124999999999691</v>
      </c>
      <c r="BF1345" t="e">
        <f t="shared" ca="1" si="60"/>
        <v>#VALUE!</v>
      </c>
    </row>
    <row r="1346" spans="57:58">
      <c r="BE1346" s="19">
        <f t="shared" si="61"/>
        <v>0.93194444444444136</v>
      </c>
      <c r="BF1346" t="e">
        <f t="shared" ca="1" si="60"/>
        <v>#VALUE!</v>
      </c>
    </row>
    <row r="1347" spans="57:58">
      <c r="BE1347" s="19">
        <f t="shared" si="61"/>
        <v>0.9326388888888858</v>
      </c>
      <c r="BF1347" t="e">
        <f t="shared" ca="1" si="60"/>
        <v>#VALUE!</v>
      </c>
    </row>
    <row r="1348" spans="57:58">
      <c r="BE1348" s="19">
        <f t="shared" si="61"/>
        <v>0.93333333333333024</v>
      </c>
      <c r="BF1348" t="e">
        <f t="shared" ca="1" si="60"/>
        <v>#VALUE!</v>
      </c>
    </row>
    <row r="1349" spans="57:58">
      <c r="BE1349" s="19">
        <f t="shared" si="61"/>
        <v>0.93402777777777468</v>
      </c>
      <c r="BF1349" t="e">
        <f t="shared" ref="BF1349:BF1412" ca="1" si="62">IF(BE1349&lt;$B$5-1/1440,0,OFFSET($N$4,(BE1349-$B$4)*1440,0,1,1))</f>
        <v>#VALUE!</v>
      </c>
    </row>
    <row r="1350" spans="57:58">
      <c r="BE1350" s="19">
        <f t="shared" ref="BE1350:BE1413" si="63">BE1349+1/1440</f>
        <v>0.93472222222221912</v>
      </c>
      <c r="BF1350" t="e">
        <f t="shared" ca="1" si="62"/>
        <v>#VALUE!</v>
      </c>
    </row>
    <row r="1351" spans="57:58">
      <c r="BE1351" s="19">
        <f t="shared" si="63"/>
        <v>0.93541666666666357</v>
      </c>
      <c r="BF1351" t="e">
        <f t="shared" ca="1" si="62"/>
        <v>#VALUE!</v>
      </c>
    </row>
    <row r="1352" spans="57:58">
      <c r="BE1352" s="19">
        <f t="shared" si="63"/>
        <v>0.93611111111110801</v>
      </c>
      <c r="BF1352" t="e">
        <f t="shared" ca="1" si="62"/>
        <v>#VALUE!</v>
      </c>
    </row>
    <row r="1353" spans="57:58">
      <c r="BE1353" s="19">
        <f t="shared" si="63"/>
        <v>0.93680555555555245</v>
      </c>
      <c r="BF1353" t="e">
        <f t="shared" ca="1" si="62"/>
        <v>#VALUE!</v>
      </c>
    </row>
    <row r="1354" spans="57:58">
      <c r="BE1354" s="19">
        <f t="shared" si="63"/>
        <v>0.93749999999999689</v>
      </c>
      <c r="BF1354" t="e">
        <f t="shared" ca="1" si="62"/>
        <v>#VALUE!</v>
      </c>
    </row>
    <row r="1355" spans="57:58">
      <c r="BE1355" s="19">
        <f t="shared" si="63"/>
        <v>0.93819444444444133</v>
      </c>
      <c r="BF1355" t="e">
        <f t="shared" ca="1" si="62"/>
        <v>#VALUE!</v>
      </c>
    </row>
    <row r="1356" spans="57:58">
      <c r="BE1356" s="19">
        <f t="shared" si="63"/>
        <v>0.93888888888888578</v>
      </c>
      <c r="BF1356" t="e">
        <f t="shared" ca="1" si="62"/>
        <v>#VALUE!</v>
      </c>
    </row>
    <row r="1357" spans="57:58">
      <c r="BE1357" s="19">
        <f t="shared" si="63"/>
        <v>0.93958333333333022</v>
      </c>
      <c r="BF1357" t="e">
        <f t="shared" ca="1" si="62"/>
        <v>#VALUE!</v>
      </c>
    </row>
    <row r="1358" spans="57:58">
      <c r="BE1358" s="19">
        <f t="shared" si="63"/>
        <v>0.94027777777777466</v>
      </c>
      <c r="BF1358" t="e">
        <f t="shared" ca="1" si="62"/>
        <v>#VALUE!</v>
      </c>
    </row>
    <row r="1359" spans="57:58">
      <c r="BE1359" s="19">
        <f t="shared" si="63"/>
        <v>0.9409722222222191</v>
      </c>
      <c r="BF1359" t="e">
        <f t="shared" ca="1" si="62"/>
        <v>#VALUE!</v>
      </c>
    </row>
    <row r="1360" spans="57:58">
      <c r="BE1360" s="19">
        <f t="shared" si="63"/>
        <v>0.94166666666666354</v>
      </c>
      <c r="BF1360" t="e">
        <f t="shared" ca="1" si="62"/>
        <v>#VALUE!</v>
      </c>
    </row>
    <row r="1361" spans="57:58">
      <c r="BE1361" s="19">
        <f t="shared" si="63"/>
        <v>0.94236111111110799</v>
      </c>
      <c r="BF1361" t="e">
        <f t="shared" ca="1" si="62"/>
        <v>#VALUE!</v>
      </c>
    </row>
    <row r="1362" spans="57:58">
      <c r="BE1362" s="19">
        <f t="shared" si="63"/>
        <v>0.94305555555555243</v>
      </c>
      <c r="BF1362" t="e">
        <f t="shared" ca="1" si="62"/>
        <v>#VALUE!</v>
      </c>
    </row>
    <row r="1363" spans="57:58">
      <c r="BE1363" s="19">
        <f t="shared" si="63"/>
        <v>0.94374999999999687</v>
      </c>
      <c r="BF1363" t="e">
        <f t="shared" ca="1" si="62"/>
        <v>#VALUE!</v>
      </c>
    </row>
    <row r="1364" spans="57:58">
      <c r="BE1364" s="19">
        <f t="shared" si="63"/>
        <v>0.94444444444444131</v>
      </c>
      <c r="BF1364" t="e">
        <f t="shared" ca="1" si="62"/>
        <v>#VALUE!</v>
      </c>
    </row>
    <row r="1365" spans="57:58">
      <c r="BE1365" s="19">
        <f t="shared" si="63"/>
        <v>0.94513888888888575</v>
      </c>
      <c r="BF1365" t="e">
        <f t="shared" ca="1" si="62"/>
        <v>#VALUE!</v>
      </c>
    </row>
    <row r="1366" spans="57:58">
      <c r="BE1366" s="19">
        <f t="shared" si="63"/>
        <v>0.9458333333333302</v>
      </c>
      <c r="BF1366" t="e">
        <f t="shared" ca="1" si="62"/>
        <v>#VALUE!</v>
      </c>
    </row>
    <row r="1367" spans="57:58">
      <c r="BE1367" s="19">
        <f t="shared" si="63"/>
        <v>0.94652777777777464</v>
      </c>
      <c r="BF1367" t="e">
        <f t="shared" ca="1" si="62"/>
        <v>#VALUE!</v>
      </c>
    </row>
    <row r="1368" spans="57:58">
      <c r="BE1368" s="19">
        <f t="shared" si="63"/>
        <v>0.94722222222221908</v>
      </c>
      <c r="BF1368" t="e">
        <f t="shared" ca="1" si="62"/>
        <v>#VALUE!</v>
      </c>
    </row>
    <row r="1369" spans="57:58">
      <c r="BE1369" s="19">
        <f t="shared" si="63"/>
        <v>0.94791666666666352</v>
      </c>
      <c r="BF1369" t="e">
        <f t="shared" ca="1" si="62"/>
        <v>#VALUE!</v>
      </c>
    </row>
    <row r="1370" spans="57:58">
      <c r="BE1370" s="19">
        <f t="shared" si="63"/>
        <v>0.94861111111110796</v>
      </c>
      <c r="BF1370" t="e">
        <f t="shared" ca="1" si="62"/>
        <v>#VALUE!</v>
      </c>
    </row>
    <row r="1371" spans="57:58">
      <c r="BE1371" s="19">
        <f t="shared" si="63"/>
        <v>0.9493055555555524</v>
      </c>
      <c r="BF1371" t="e">
        <f t="shared" ca="1" si="62"/>
        <v>#VALUE!</v>
      </c>
    </row>
    <row r="1372" spans="57:58">
      <c r="BE1372" s="19">
        <f t="shared" si="63"/>
        <v>0.94999999999999685</v>
      </c>
      <c r="BF1372" t="e">
        <f t="shared" ca="1" si="62"/>
        <v>#VALUE!</v>
      </c>
    </row>
    <row r="1373" spans="57:58">
      <c r="BE1373" s="19">
        <f t="shared" si="63"/>
        <v>0.95069444444444129</v>
      </c>
      <c r="BF1373" t="e">
        <f t="shared" ca="1" si="62"/>
        <v>#VALUE!</v>
      </c>
    </row>
    <row r="1374" spans="57:58">
      <c r="BE1374" s="19">
        <f t="shared" si="63"/>
        <v>0.95138888888888573</v>
      </c>
      <c r="BF1374" t="e">
        <f t="shared" ca="1" si="62"/>
        <v>#VALUE!</v>
      </c>
    </row>
    <row r="1375" spans="57:58">
      <c r="BE1375" s="19">
        <f t="shared" si="63"/>
        <v>0.95208333333333017</v>
      </c>
      <c r="BF1375" t="e">
        <f t="shared" ca="1" si="62"/>
        <v>#VALUE!</v>
      </c>
    </row>
    <row r="1376" spans="57:58">
      <c r="BE1376" s="19">
        <f t="shared" si="63"/>
        <v>0.95277777777777461</v>
      </c>
      <c r="BF1376" t="e">
        <f t="shared" ca="1" si="62"/>
        <v>#VALUE!</v>
      </c>
    </row>
    <row r="1377" spans="57:58">
      <c r="BE1377" s="19">
        <f t="shared" si="63"/>
        <v>0.95347222222221906</v>
      </c>
      <c r="BF1377" t="e">
        <f t="shared" ca="1" si="62"/>
        <v>#VALUE!</v>
      </c>
    </row>
    <row r="1378" spans="57:58">
      <c r="BE1378" s="19">
        <f t="shared" si="63"/>
        <v>0.9541666666666635</v>
      </c>
      <c r="BF1378" t="e">
        <f t="shared" ca="1" si="62"/>
        <v>#VALUE!</v>
      </c>
    </row>
    <row r="1379" spans="57:58">
      <c r="BE1379" s="19">
        <f t="shared" si="63"/>
        <v>0.95486111111110794</v>
      </c>
      <c r="BF1379" t="e">
        <f t="shared" ca="1" si="62"/>
        <v>#VALUE!</v>
      </c>
    </row>
    <row r="1380" spans="57:58">
      <c r="BE1380" s="19">
        <f t="shared" si="63"/>
        <v>0.95555555555555238</v>
      </c>
      <c r="BF1380" t="e">
        <f t="shared" ca="1" si="62"/>
        <v>#VALUE!</v>
      </c>
    </row>
    <row r="1381" spans="57:58">
      <c r="BE1381" s="19">
        <f t="shared" si="63"/>
        <v>0.95624999999999682</v>
      </c>
      <c r="BF1381" t="e">
        <f t="shared" ca="1" si="62"/>
        <v>#VALUE!</v>
      </c>
    </row>
    <row r="1382" spans="57:58">
      <c r="BE1382" s="19">
        <f t="shared" si="63"/>
        <v>0.95694444444444127</v>
      </c>
      <c r="BF1382" t="e">
        <f t="shared" ca="1" si="62"/>
        <v>#VALUE!</v>
      </c>
    </row>
    <row r="1383" spans="57:58">
      <c r="BE1383" s="19">
        <f t="shared" si="63"/>
        <v>0.95763888888888571</v>
      </c>
      <c r="BF1383" t="e">
        <f t="shared" ca="1" si="62"/>
        <v>#VALUE!</v>
      </c>
    </row>
    <row r="1384" spans="57:58">
      <c r="BE1384" s="19">
        <f t="shared" si="63"/>
        <v>0.95833333333333015</v>
      </c>
      <c r="BF1384" t="e">
        <f t="shared" ca="1" si="62"/>
        <v>#VALUE!</v>
      </c>
    </row>
    <row r="1385" spans="57:58">
      <c r="BE1385" s="19">
        <f t="shared" si="63"/>
        <v>0.95902777777777459</v>
      </c>
      <c r="BF1385" t="e">
        <f t="shared" ca="1" si="62"/>
        <v>#VALUE!</v>
      </c>
    </row>
    <row r="1386" spans="57:58">
      <c r="BE1386" s="19">
        <f t="shared" si="63"/>
        <v>0.95972222222221903</v>
      </c>
      <c r="BF1386" t="e">
        <f t="shared" ca="1" si="62"/>
        <v>#VALUE!</v>
      </c>
    </row>
    <row r="1387" spans="57:58">
      <c r="BE1387" s="19">
        <f t="shared" si="63"/>
        <v>0.96041666666666348</v>
      </c>
      <c r="BF1387" t="e">
        <f t="shared" ca="1" si="62"/>
        <v>#VALUE!</v>
      </c>
    </row>
    <row r="1388" spans="57:58">
      <c r="BE1388" s="19">
        <f t="shared" si="63"/>
        <v>0.96111111111110792</v>
      </c>
      <c r="BF1388" t="e">
        <f t="shared" ca="1" si="62"/>
        <v>#VALUE!</v>
      </c>
    </row>
    <row r="1389" spans="57:58">
      <c r="BE1389" s="19">
        <f t="shared" si="63"/>
        <v>0.96180555555555236</v>
      </c>
      <c r="BF1389" t="e">
        <f t="shared" ca="1" si="62"/>
        <v>#VALUE!</v>
      </c>
    </row>
    <row r="1390" spans="57:58">
      <c r="BE1390" s="19">
        <f t="shared" si="63"/>
        <v>0.9624999999999968</v>
      </c>
      <c r="BF1390" t="e">
        <f t="shared" ca="1" si="62"/>
        <v>#VALUE!</v>
      </c>
    </row>
    <row r="1391" spans="57:58">
      <c r="BE1391" s="19">
        <f t="shared" si="63"/>
        <v>0.96319444444444124</v>
      </c>
      <c r="BF1391" t="e">
        <f t="shared" ca="1" si="62"/>
        <v>#VALUE!</v>
      </c>
    </row>
    <row r="1392" spans="57:58">
      <c r="BE1392" s="19">
        <f t="shared" si="63"/>
        <v>0.96388888888888569</v>
      </c>
      <c r="BF1392" t="e">
        <f t="shared" ca="1" si="62"/>
        <v>#VALUE!</v>
      </c>
    </row>
    <row r="1393" spans="57:58">
      <c r="BE1393" s="19">
        <f t="shared" si="63"/>
        <v>0.96458333333333013</v>
      </c>
      <c r="BF1393" t="e">
        <f t="shared" ca="1" si="62"/>
        <v>#VALUE!</v>
      </c>
    </row>
    <row r="1394" spans="57:58">
      <c r="BE1394" s="19">
        <f t="shared" si="63"/>
        <v>0.96527777777777457</v>
      </c>
      <c r="BF1394" t="e">
        <f t="shared" ca="1" si="62"/>
        <v>#VALUE!</v>
      </c>
    </row>
    <row r="1395" spans="57:58">
      <c r="BE1395" s="19">
        <f t="shared" si="63"/>
        <v>0.96597222222221901</v>
      </c>
      <c r="BF1395" t="e">
        <f t="shared" ca="1" si="62"/>
        <v>#VALUE!</v>
      </c>
    </row>
    <row r="1396" spans="57:58">
      <c r="BE1396" s="19">
        <f t="shared" si="63"/>
        <v>0.96666666666666345</v>
      </c>
      <c r="BF1396" t="e">
        <f t="shared" ca="1" si="62"/>
        <v>#VALUE!</v>
      </c>
    </row>
    <row r="1397" spans="57:58">
      <c r="BE1397" s="19">
        <f t="shared" si="63"/>
        <v>0.9673611111111079</v>
      </c>
      <c r="BF1397" t="e">
        <f t="shared" ca="1" si="62"/>
        <v>#VALUE!</v>
      </c>
    </row>
    <row r="1398" spans="57:58">
      <c r="BE1398" s="19">
        <f t="shared" si="63"/>
        <v>0.96805555555555234</v>
      </c>
      <c r="BF1398" t="e">
        <f t="shared" ca="1" si="62"/>
        <v>#VALUE!</v>
      </c>
    </row>
    <row r="1399" spans="57:58">
      <c r="BE1399" s="19">
        <f t="shared" si="63"/>
        <v>0.96874999999999678</v>
      </c>
      <c r="BF1399" t="e">
        <f t="shared" ca="1" si="62"/>
        <v>#VALUE!</v>
      </c>
    </row>
    <row r="1400" spans="57:58">
      <c r="BE1400" s="19">
        <f t="shared" si="63"/>
        <v>0.96944444444444122</v>
      </c>
      <c r="BF1400" t="e">
        <f t="shared" ca="1" si="62"/>
        <v>#VALUE!</v>
      </c>
    </row>
    <row r="1401" spans="57:58">
      <c r="BE1401" s="19">
        <f t="shared" si="63"/>
        <v>0.97013888888888566</v>
      </c>
      <c r="BF1401" t="e">
        <f t="shared" ca="1" si="62"/>
        <v>#VALUE!</v>
      </c>
    </row>
    <row r="1402" spans="57:58">
      <c r="BE1402" s="19">
        <f t="shared" si="63"/>
        <v>0.97083333333333011</v>
      </c>
      <c r="BF1402" t="e">
        <f t="shared" ca="1" si="62"/>
        <v>#VALUE!</v>
      </c>
    </row>
    <row r="1403" spans="57:58">
      <c r="BE1403" s="19">
        <f t="shared" si="63"/>
        <v>0.97152777777777455</v>
      </c>
      <c r="BF1403" t="e">
        <f t="shared" ca="1" si="62"/>
        <v>#VALUE!</v>
      </c>
    </row>
    <row r="1404" spans="57:58">
      <c r="BE1404" s="19">
        <f t="shared" si="63"/>
        <v>0.97222222222221899</v>
      </c>
      <c r="BF1404" t="e">
        <f t="shared" ca="1" si="62"/>
        <v>#VALUE!</v>
      </c>
    </row>
    <row r="1405" spans="57:58">
      <c r="BE1405" s="19">
        <f t="shared" si="63"/>
        <v>0.97291666666666343</v>
      </c>
      <c r="BF1405" t="e">
        <f t="shared" ca="1" si="62"/>
        <v>#VALUE!</v>
      </c>
    </row>
    <row r="1406" spans="57:58">
      <c r="BE1406" s="19">
        <f t="shared" si="63"/>
        <v>0.97361111111110787</v>
      </c>
      <c r="BF1406" t="e">
        <f t="shared" ca="1" si="62"/>
        <v>#VALUE!</v>
      </c>
    </row>
    <row r="1407" spans="57:58">
      <c r="BE1407" s="19">
        <f t="shared" si="63"/>
        <v>0.97430555555555232</v>
      </c>
      <c r="BF1407" t="e">
        <f t="shared" ca="1" si="62"/>
        <v>#VALUE!</v>
      </c>
    </row>
    <row r="1408" spans="57:58">
      <c r="BE1408" s="19">
        <f t="shared" si="63"/>
        <v>0.97499999999999676</v>
      </c>
      <c r="BF1408" t="e">
        <f t="shared" ca="1" si="62"/>
        <v>#VALUE!</v>
      </c>
    </row>
    <row r="1409" spans="57:58">
      <c r="BE1409" s="19">
        <f t="shared" si="63"/>
        <v>0.9756944444444412</v>
      </c>
      <c r="BF1409" t="e">
        <f t="shared" ca="1" si="62"/>
        <v>#VALUE!</v>
      </c>
    </row>
    <row r="1410" spans="57:58">
      <c r="BE1410" s="19">
        <f t="shared" si="63"/>
        <v>0.97638888888888564</v>
      </c>
      <c r="BF1410" t="e">
        <f t="shared" ca="1" si="62"/>
        <v>#VALUE!</v>
      </c>
    </row>
    <row r="1411" spans="57:58">
      <c r="BE1411" s="19">
        <f t="shared" si="63"/>
        <v>0.97708333333333008</v>
      </c>
      <c r="BF1411" t="e">
        <f t="shared" ca="1" si="62"/>
        <v>#VALUE!</v>
      </c>
    </row>
    <row r="1412" spans="57:58">
      <c r="BE1412" s="19">
        <f t="shared" si="63"/>
        <v>0.97777777777777453</v>
      </c>
      <c r="BF1412" t="e">
        <f t="shared" ca="1" si="62"/>
        <v>#VALUE!</v>
      </c>
    </row>
    <row r="1413" spans="57:58">
      <c r="BE1413" s="19">
        <f t="shared" si="63"/>
        <v>0.97847222222221897</v>
      </c>
      <c r="BF1413" t="e">
        <f t="shared" ref="BF1413:BF1443" ca="1" si="64">IF(BE1413&lt;$B$5-1/1440,0,OFFSET($N$4,(BE1413-$B$4)*1440,0,1,1))</f>
        <v>#VALUE!</v>
      </c>
    </row>
    <row r="1414" spans="57:58">
      <c r="BE1414" s="19">
        <f t="shared" ref="BE1414:BE1477" si="65">BE1413+1/1440</f>
        <v>0.97916666666666341</v>
      </c>
      <c r="BF1414" t="e">
        <f t="shared" ca="1" si="64"/>
        <v>#VALUE!</v>
      </c>
    </row>
    <row r="1415" spans="57:58">
      <c r="BE1415" s="19">
        <f t="shared" si="65"/>
        <v>0.97986111111110785</v>
      </c>
      <c r="BF1415" t="e">
        <f t="shared" ca="1" si="64"/>
        <v>#VALUE!</v>
      </c>
    </row>
    <row r="1416" spans="57:58">
      <c r="BE1416" s="19">
        <f t="shared" si="65"/>
        <v>0.98055555555555229</v>
      </c>
      <c r="BF1416" t="e">
        <f t="shared" ca="1" si="64"/>
        <v>#VALUE!</v>
      </c>
    </row>
    <row r="1417" spans="57:58">
      <c r="BE1417" s="19">
        <f t="shared" si="65"/>
        <v>0.98124999999999674</v>
      </c>
      <c r="BF1417" t="e">
        <f t="shared" ca="1" si="64"/>
        <v>#VALUE!</v>
      </c>
    </row>
    <row r="1418" spans="57:58">
      <c r="BE1418" s="19">
        <f t="shared" si="65"/>
        <v>0.98194444444444118</v>
      </c>
      <c r="BF1418" t="e">
        <f t="shared" ca="1" si="64"/>
        <v>#VALUE!</v>
      </c>
    </row>
    <row r="1419" spans="57:58">
      <c r="BE1419" s="19">
        <f t="shared" si="65"/>
        <v>0.98263888888888562</v>
      </c>
      <c r="BF1419" t="e">
        <f t="shared" ca="1" si="64"/>
        <v>#VALUE!</v>
      </c>
    </row>
    <row r="1420" spans="57:58">
      <c r="BE1420" s="19">
        <f t="shared" si="65"/>
        <v>0.98333333333333006</v>
      </c>
      <c r="BF1420" t="e">
        <f t="shared" ca="1" si="64"/>
        <v>#VALUE!</v>
      </c>
    </row>
    <row r="1421" spans="57:58">
      <c r="BE1421" s="19">
        <f t="shared" si="65"/>
        <v>0.9840277777777745</v>
      </c>
      <c r="BF1421" t="e">
        <f t="shared" ca="1" si="64"/>
        <v>#VALUE!</v>
      </c>
    </row>
    <row r="1422" spans="57:58">
      <c r="BE1422" s="19">
        <f t="shared" si="65"/>
        <v>0.98472222222221895</v>
      </c>
      <c r="BF1422" t="e">
        <f t="shared" ca="1" si="64"/>
        <v>#VALUE!</v>
      </c>
    </row>
    <row r="1423" spans="57:58">
      <c r="BE1423" s="19">
        <f t="shared" si="65"/>
        <v>0.98541666666666339</v>
      </c>
      <c r="BF1423" t="e">
        <f t="shared" ca="1" si="64"/>
        <v>#VALUE!</v>
      </c>
    </row>
    <row r="1424" spans="57:58">
      <c r="BE1424" s="19">
        <f t="shared" si="65"/>
        <v>0.98611111111110783</v>
      </c>
      <c r="BF1424" t="e">
        <f t="shared" ca="1" si="64"/>
        <v>#VALUE!</v>
      </c>
    </row>
    <row r="1425" spans="57:58">
      <c r="BE1425" s="19">
        <f t="shared" si="65"/>
        <v>0.98680555555555227</v>
      </c>
      <c r="BF1425" t="e">
        <f t="shared" ca="1" si="64"/>
        <v>#VALUE!</v>
      </c>
    </row>
    <row r="1426" spans="57:58">
      <c r="BE1426" s="19">
        <f t="shared" si="65"/>
        <v>0.98749999999999671</v>
      </c>
      <c r="BF1426" t="e">
        <f t="shared" ca="1" si="64"/>
        <v>#VALUE!</v>
      </c>
    </row>
    <row r="1427" spans="57:58">
      <c r="BE1427" s="19">
        <f t="shared" si="65"/>
        <v>0.98819444444444116</v>
      </c>
      <c r="BF1427" t="e">
        <f t="shared" ca="1" si="64"/>
        <v>#VALUE!</v>
      </c>
    </row>
    <row r="1428" spans="57:58">
      <c r="BE1428" s="19">
        <f t="shared" si="65"/>
        <v>0.9888888888888856</v>
      </c>
      <c r="BF1428" t="e">
        <f t="shared" ca="1" si="64"/>
        <v>#VALUE!</v>
      </c>
    </row>
    <row r="1429" spans="57:58">
      <c r="BE1429" s="19">
        <f t="shared" si="65"/>
        <v>0.98958333333333004</v>
      </c>
      <c r="BF1429" t="e">
        <f t="shared" ca="1" si="64"/>
        <v>#VALUE!</v>
      </c>
    </row>
    <row r="1430" spans="57:58">
      <c r="BE1430" s="19">
        <f t="shared" si="65"/>
        <v>0.99027777777777448</v>
      </c>
      <c r="BF1430" t="e">
        <f t="shared" ca="1" si="64"/>
        <v>#VALUE!</v>
      </c>
    </row>
    <row r="1431" spans="57:58">
      <c r="BE1431" s="19">
        <f t="shared" si="65"/>
        <v>0.99097222222221892</v>
      </c>
      <c r="BF1431" t="e">
        <f t="shared" ca="1" si="64"/>
        <v>#VALUE!</v>
      </c>
    </row>
    <row r="1432" spans="57:58">
      <c r="BE1432" s="19">
        <f t="shared" si="65"/>
        <v>0.99166666666666337</v>
      </c>
      <c r="BF1432" t="e">
        <f t="shared" ca="1" si="64"/>
        <v>#VALUE!</v>
      </c>
    </row>
    <row r="1433" spans="57:58">
      <c r="BE1433" s="19">
        <f t="shared" si="65"/>
        <v>0.99236111111110781</v>
      </c>
      <c r="BF1433" t="e">
        <f t="shared" ca="1" si="64"/>
        <v>#VALUE!</v>
      </c>
    </row>
    <row r="1434" spans="57:58">
      <c r="BE1434" s="19">
        <f t="shared" si="65"/>
        <v>0.99305555555555225</v>
      </c>
      <c r="BF1434" t="e">
        <f t="shared" ca="1" si="64"/>
        <v>#VALUE!</v>
      </c>
    </row>
    <row r="1435" spans="57:58">
      <c r="BE1435" s="19">
        <f t="shared" si="65"/>
        <v>0.99374999999999669</v>
      </c>
      <c r="BF1435" t="e">
        <f t="shared" ca="1" si="64"/>
        <v>#VALUE!</v>
      </c>
    </row>
    <row r="1436" spans="57:58">
      <c r="BE1436" s="19">
        <f t="shared" si="65"/>
        <v>0.99444444444444113</v>
      </c>
      <c r="BF1436" t="e">
        <f t="shared" ca="1" si="64"/>
        <v>#VALUE!</v>
      </c>
    </row>
    <row r="1437" spans="57:58">
      <c r="BE1437" s="19">
        <f t="shared" si="65"/>
        <v>0.99513888888888558</v>
      </c>
      <c r="BF1437" t="e">
        <f t="shared" ca="1" si="64"/>
        <v>#VALUE!</v>
      </c>
    </row>
    <row r="1438" spans="57:58">
      <c r="BE1438" s="19">
        <f t="shared" si="65"/>
        <v>0.99583333333333002</v>
      </c>
      <c r="BF1438" t="e">
        <f t="shared" ca="1" si="64"/>
        <v>#VALUE!</v>
      </c>
    </row>
    <row r="1439" spans="57:58">
      <c r="BE1439" s="19">
        <f t="shared" si="65"/>
        <v>0.99652777777777446</v>
      </c>
      <c r="BF1439" t="e">
        <f t="shared" ca="1" si="64"/>
        <v>#VALUE!</v>
      </c>
    </row>
    <row r="1440" spans="57:58">
      <c r="BE1440" s="19">
        <f t="shared" si="65"/>
        <v>0.9972222222222189</v>
      </c>
      <c r="BF1440" t="e">
        <f t="shared" ca="1" si="64"/>
        <v>#VALUE!</v>
      </c>
    </row>
    <row r="1441" spans="57:58">
      <c r="BE1441" s="19">
        <f t="shared" si="65"/>
        <v>0.99791666666666334</v>
      </c>
      <c r="BF1441" t="e">
        <f t="shared" ca="1" si="64"/>
        <v>#VALUE!</v>
      </c>
    </row>
    <row r="1442" spans="57:58">
      <c r="BE1442" s="19">
        <f t="shared" si="65"/>
        <v>0.99861111111110779</v>
      </c>
      <c r="BF1442" t="e">
        <f t="shared" ca="1" si="64"/>
        <v>#VALUE!</v>
      </c>
    </row>
    <row r="1443" spans="57:58">
      <c r="BE1443" s="19">
        <f t="shared" si="65"/>
        <v>0.99930555555555223</v>
      </c>
      <c r="BF1443" t="e">
        <f t="shared" ca="1" si="64"/>
        <v>#VALUE!</v>
      </c>
    </row>
    <row r="1444" spans="57:58">
      <c r="BE1444" s="19">
        <f t="shared" si="65"/>
        <v>0.99999999999999667</v>
      </c>
      <c r="BF1444" t="e">
        <f t="shared" ref="BF1444:BF1507" ca="1" si="66">IF(BE1444&lt;$B$5-1/1440,0,OFFSET($N$4,(BE1444-$B$4)*1440,0,1,1))</f>
        <v>#VALUE!</v>
      </c>
    </row>
    <row r="1445" spans="57:58">
      <c r="BE1445" s="19">
        <f t="shared" si="65"/>
        <v>1.0006944444444412</v>
      </c>
      <c r="BF1445" t="e">
        <f t="shared" ca="1" si="66"/>
        <v>#VALUE!</v>
      </c>
    </row>
    <row r="1446" spans="57:58">
      <c r="BE1446" s="19">
        <f t="shared" si="65"/>
        <v>1.0013888888888858</v>
      </c>
      <c r="BF1446" t="e">
        <f t="shared" ca="1" si="66"/>
        <v>#VALUE!</v>
      </c>
    </row>
    <row r="1447" spans="57:58">
      <c r="BE1447" s="19">
        <f t="shared" si="65"/>
        <v>1.0020833333333303</v>
      </c>
      <c r="BF1447" t="e">
        <f t="shared" ca="1" si="66"/>
        <v>#VALUE!</v>
      </c>
    </row>
    <row r="1448" spans="57:58">
      <c r="BE1448" s="19">
        <f t="shared" si="65"/>
        <v>1.0027777777777749</v>
      </c>
      <c r="BF1448" t="e">
        <f t="shared" ca="1" si="66"/>
        <v>#VALUE!</v>
      </c>
    </row>
    <row r="1449" spans="57:58">
      <c r="BE1449" s="19">
        <f t="shared" si="65"/>
        <v>1.0034722222222194</v>
      </c>
      <c r="BF1449" t="e">
        <f t="shared" ca="1" si="66"/>
        <v>#VALUE!</v>
      </c>
    </row>
    <row r="1450" spans="57:58">
      <c r="BE1450" s="19">
        <f t="shared" si="65"/>
        <v>1.004166666666664</v>
      </c>
      <c r="BF1450" t="e">
        <f t="shared" ca="1" si="66"/>
        <v>#VALUE!</v>
      </c>
    </row>
    <row r="1451" spans="57:58">
      <c r="BE1451" s="19">
        <f t="shared" si="65"/>
        <v>1.0048611111111085</v>
      </c>
      <c r="BF1451" t="e">
        <f t="shared" ca="1" si="66"/>
        <v>#VALUE!</v>
      </c>
    </row>
    <row r="1452" spans="57:58">
      <c r="BE1452" s="19">
        <f t="shared" si="65"/>
        <v>1.0055555555555531</v>
      </c>
      <c r="BF1452" t="e">
        <f t="shared" ca="1" si="66"/>
        <v>#VALUE!</v>
      </c>
    </row>
    <row r="1453" spans="57:58">
      <c r="BE1453" s="19">
        <f t="shared" si="65"/>
        <v>1.0062499999999976</v>
      </c>
      <c r="BF1453" t="e">
        <f t="shared" ca="1" si="66"/>
        <v>#VALUE!</v>
      </c>
    </row>
    <row r="1454" spans="57:58">
      <c r="BE1454" s="19">
        <f t="shared" si="65"/>
        <v>1.0069444444444422</v>
      </c>
      <c r="BF1454" t="e">
        <f t="shared" ca="1" si="66"/>
        <v>#VALUE!</v>
      </c>
    </row>
    <row r="1455" spans="57:58">
      <c r="BE1455" s="19">
        <f t="shared" si="65"/>
        <v>1.0076388888888868</v>
      </c>
      <c r="BF1455" t="e">
        <f t="shared" ca="1" si="66"/>
        <v>#VALUE!</v>
      </c>
    </row>
    <row r="1456" spans="57:58">
      <c r="BE1456" s="19">
        <f t="shared" si="65"/>
        <v>1.0083333333333313</v>
      </c>
      <c r="BF1456" t="e">
        <f t="shared" ca="1" si="66"/>
        <v>#VALUE!</v>
      </c>
    </row>
    <row r="1457" spans="57:58">
      <c r="BE1457" s="19">
        <f t="shared" si="65"/>
        <v>1.0090277777777759</v>
      </c>
      <c r="BF1457" t="e">
        <f t="shared" ca="1" si="66"/>
        <v>#VALUE!</v>
      </c>
    </row>
    <row r="1458" spans="57:58">
      <c r="BE1458" s="19">
        <f t="shared" si="65"/>
        <v>1.0097222222222204</v>
      </c>
      <c r="BF1458" t="e">
        <f t="shared" ca="1" si="66"/>
        <v>#VALUE!</v>
      </c>
    </row>
    <row r="1459" spans="57:58">
      <c r="BE1459" s="19">
        <f t="shared" si="65"/>
        <v>1.010416666666665</v>
      </c>
      <c r="BF1459" t="e">
        <f t="shared" ca="1" si="66"/>
        <v>#VALUE!</v>
      </c>
    </row>
    <row r="1460" spans="57:58">
      <c r="BE1460" s="19">
        <f t="shared" si="65"/>
        <v>1.0111111111111095</v>
      </c>
      <c r="BF1460" t="e">
        <f t="shared" ca="1" si="66"/>
        <v>#VALUE!</v>
      </c>
    </row>
    <row r="1461" spans="57:58">
      <c r="BE1461" s="19">
        <f t="shared" si="65"/>
        <v>1.0118055555555541</v>
      </c>
      <c r="BF1461" t="e">
        <f t="shared" ca="1" si="66"/>
        <v>#VALUE!</v>
      </c>
    </row>
    <row r="1462" spans="57:58">
      <c r="BE1462" s="19">
        <f t="shared" si="65"/>
        <v>1.0124999999999986</v>
      </c>
      <c r="BF1462" t="e">
        <f t="shared" ca="1" si="66"/>
        <v>#VALUE!</v>
      </c>
    </row>
    <row r="1463" spans="57:58">
      <c r="BE1463" s="19">
        <f t="shared" si="65"/>
        <v>1.0131944444444432</v>
      </c>
      <c r="BF1463" t="e">
        <f t="shared" ca="1" si="66"/>
        <v>#VALUE!</v>
      </c>
    </row>
    <row r="1464" spans="57:58">
      <c r="BE1464" s="19">
        <f t="shared" si="65"/>
        <v>1.0138888888888877</v>
      </c>
      <c r="BF1464" t="e">
        <f t="shared" ca="1" si="66"/>
        <v>#VALUE!</v>
      </c>
    </row>
    <row r="1465" spans="57:58">
      <c r="BE1465" s="19">
        <f t="shared" si="65"/>
        <v>1.0145833333333323</v>
      </c>
      <c r="BF1465" t="e">
        <f t="shared" ca="1" si="66"/>
        <v>#VALUE!</v>
      </c>
    </row>
    <row r="1466" spans="57:58">
      <c r="BE1466" s="19">
        <f t="shared" si="65"/>
        <v>1.0152777777777768</v>
      </c>
      <c r="BF1466" t="e">
        <f t="shared" ca="1" si="66"/>
        <v>#VALUE!</v>
      </c>
    </row>
    <row r="1467" spans="57:58">
      <c r="BE1467" s="19">
        <f t="shared" si="65"/>
        <v>1.0159722222222214</v>
      </c>
      <c r="BF1467" t="e">
        <f t="shared" ca="1" si="66"/>
        <v>#VALUE!</v>
      </c>
    </row>
    <row r="1468" spans="57:58">
      <c r="BE1468" s="19">
        <f t="shared" si="65"/>
        <v>1.0166666666666659</v>
      </c>
      <c r="BF1468" t="e">
        <f t="shared" ca="1" si="66"/>
        <v>#VALUE!</v>
      </c>
    </row>
    <row r="1469" spans="57:58">
      <c r="BE1469" s="19">
        <f t="shared" si="65"/>
        <v>1.0173611111111105</v>
      </c>
      <c r="BF1469" t="e">
        <f t="shared" ca="1" si="66"/>
        <v>#VALUE!</v>
      </c>
    </row>
    <row r="1470" spans="57:58">
      <c r="BE1470" s="19">
        <f t="shared" si="65"/>
        <v>1.018055555555555</v>
      </c>
      <c r="BF1470" t="e">
        <f t="shared" ca="1" si="66"/>
        <v>#VALUE!</v>
      </c>
    </row>
    <row r="1471" spans="57:58">
      <c r="BE1471" s="19">
        <f t="shared" si="65"/>
        <v>1.0187499999999996</v>
      </c>
      <c r="BF1471" t="e">
        <f t="shared" ca="1" si="66"/>
        <v>#VALUE!</v>
      </c>
    </row>
    <row r="1472" spans="57:58">
      <c r="BE1472" s="19">
        <f t="shared" si="65"/>
        <v>1.0194444444444442</v>
      </c>
      <c r="BF1472" t="e">
        <f t="shared" ca="1" si="66"/>
        <v>#VALUE!</v>
      </c>
    </row>
    <row r="1473" spans="57:58">
      <c r="BE1473" s="19">
        <f t="shared" si="65"/>
        <v>1.0201388888888887</v>
      </c>
      <c r="BF1473" t="e">
        <f t="shared" ca="1" si="66"/>
        <v>#VALUE!</v>
      </c>
    </row>
    <row r="1474" spans="57:58">
      <c r="BE1474" s="19">
        <f t="shared" si="65"/>
        <v>1.0208333333333333</v>
      </c>
      <c r="BF1474" t="e">
        <f t="shared" ca="1" si="66"/>
        <v>#VALUE!</v>
      </c>
    </row>
    <row r="1475" spans="57:58">
      <c r="BE1475" s="19">
        <f t="shared" si="65"/>
        <v>1.0215277777777778</v>
      </c>
      <c r="BF1475" t="e">
        <f t="shared" ca="1" si="66"/>
        <v>#VALUE!</v>
      </c>
    </row>
    <row r="1476" spans="57:58">
      <c r="BE1476" s="19">
        <f t="shared" si="65"/>
        <v>1.0222222222222224</v>
      </c>
      <c r="BF1476" t="e">
        <f t="shared" ca="1" si="66"/>
        <v>#VALUE!</v>
      </c>
    </row>
    <row r="1477" spans="57:58">
      <c r="BE1477" s="19">
        <f t="shared" si="65"/>
        <v>1.0229166666666669</v>
      </c>
      <c r="BF1477" t="e">
        <f t="shared" ca="1" si="66"/>
        <v>#VALUE!</v>
      </c>
    </row>
    <row r="1478" spans="57:58">
      <c r="BE1478" s="19">
        <f t="shared" ref="BE1478:BE1541" si="67">BE1477+1/1440</f>
        <v>1.0236111111111115</v>
      </c>
      <c r="BF1478" t="e">
        <f t="shared" ca="1" si="66"/>
        <v>#VALUE!</v>
      </c>
    </row>
    <row r="1479" spans="57:58">
      <c r="BE1479" s="19">
        <f t="shared" si="67"/>
        <v>1.024305555555556</v>
      </c>
      <c r="BF1479" t="e">
        <f t="shared" ca="1" si="66"/>
        <v>#VALUE!</v>
      </c>
    </row>
    <row r="1480" spans="57:58">
      <c r="BE1480" s="19">
        <f t="shared" si="67"/>
        <v>1.0250000000000006</v>
      </c>
      <c r="BF1480" t="e">
        <f t="shared" ca="1" si="66"/>
        <v>#VALUE!</v>
      </c>
    </row>
    <row r="1481" spans="57:58">
      <c r="BE1481" s="19">
        <f t="shared" si="67"/>
        <v>1.0256944444444451</v>
      </c>
      <c r="BF1481" t="e">
        <f t="shared" ca="1" si="66"/>
        <v>#VALUE!</v>
      </c>
    </row>
    <row r="1482" spans="57:58">
      <c r="BE1482" s="19">
        <f t="shared" si="67"/>
        <v>1.0263888888888897</v>
      </c>
      <c r="BF1482" t="e">
        <f t="shared" ca="1" si="66"/>
        <v>#VALUE!</v>
      </c>
    </row>
    <row r="1483" spans="57:58">
      <c r="BE1483" s="19">
        <f t="shared" si="67"/>
        <v>1.0270833333333342</v>
      </c>
      <c r="BF1483" t="e">
        <f t="shared" ca="1" si="66"/>
        <v>#VALUE!</v>
      </c>
    </row>
    <row r="1484" spans="57:58">
      <c r="BE1484" s="19">
        <f t="shared" si="67"/>
        <v>1.0277777777777788</v>
      </c>
      <c r="BF1484" t="e">
        <f t="shared" ca="1" si="66"/>
        <v>#VALUE!</v>
      </c>
    </row>
    <row r="1485" spans="57:58">
      <c r="BE1485" s="19">
        <f t="shared" si="67"/>
        <v>1.0284722222222233</v>
      </c>
      <c r="BF1485" t="e">
        <f t="shared" ca="1" si="66"/>
        <v>#VALUE!</v>
      </c>
    </row>
    <row r="1486" spans="57:58">
      <c r="BE1486" s="19">
        <f t="shared" si="67"/>
        <v>1.0291666666666679</v>
      </c>
      <c r="BF1486" t="e">
        <f t="shared" ca="1" si="66"/>
        <v>#VALUE!</v>
      </c>
    </row>
    <row r="1487" spans="57:58">
      <c r="BE1487" s="19">
        <f t="shared" si="67"/>
        <v>1.0298611111111124</v>
      </c>
      <c r="BF1487" t="e">
        <f t="shared" ca="1" si="66"/>
        <v>#VALUE!</v>
      </c>
    </row>
    <row r="1488" spans="57:58">
      <c r="BE1488" s="19">
        <f t="shared" si="67"/>
        <v>1.030555555555557</v>
      </c>
      <c r="BF1488" t="e">
        <f t="shared" ca="1" si="66"/>
        <v>#VALUE!</v>
      </c>
    </row>
    <row r="1489" spans="57:58">
      <c r="BE1489" s="19">
        <f t="shared" si="67"/>
        <v>1.0312500000000016</v>
      </c>
      <c r="BF1489" t="e">
        <f t="shared" ca="1" si="66"/>
        <v>#VALUE!</v>
      </c>
    </row>
    <row r="1490" spans="57:58">
      <c r="BE1490" s="19">
        <f t="shared" si="67"/>
        <v>1.0319444444444461</v>
      </c>
      <c r="BF1490" t="e">
        <f t="shared" ca="1" si="66"/>
        <v>#VALUE!</v>
      </c>
    </row>
    <row r="1491" spans="57:58">
      <c r="BE1491" s="19">
        <f t="shared" si="67"/>
        <v>1.0326388888888907</v>
      </c>
      <c r="BF1491" t="e">
        <f t="shared" ca="1" si="66"/>
        <v>#VALUE!</v>
      </c>
    </row>
    <row r="1492" spans="57:58">
      <c r="BE1492" s="19">
        <f t="shared" si="67"/>
        <v>1.0333333333333352</v>
      </c>
      <c r="BF1492" t="e">
        <f t="shared" ca="1" si="66"/>
        <v>#VALUE!</v>
      </c>
    </row>
    <row r="1493" spans="57:58">
      <c r="BE1493" s="19">
        <f t="shared" si="67"/>
        <v>1.0340277777777798</v>
      </c>
      <c r="BF1493" t="e">
        <f t="shared" ca="1" si="66"/>
        <v>#VALUE!</v>
      </c>
    </row>
    <row r="1494" spans="57:58">
      <c r="BE1494" s="19">
        <f t="shared" si="67"/>
        <v>1.0347222222222243</v>
      </c>
      <c r="BF1494" t="e">
        <f t="shared" ca="1" si="66"/>
        <v>#VALUE!</v>
      </c>
    </row>
    <row r="1495" spans="57:58">
      <c r="BE1495" s="19">
        <f t="shared" si="67"/>
        <v>1.0354166666666689</v>
      </c>
      <c r="BF1495" t="e">
        <f t="shared" ca="1" si="66"/>
        <v>#VALUE!</v>
      </c>
    </row>
    <row r="1496" spans="57:58">
      <c r="BE1496" s="19">
        <f t="shared" si="67"/>
        <v>1.0361111111111134</v>
      </c>
      <c r="BF1496" t="e">
        <f t="shared" ca="1" si="66"/>
        <v>#VALUE!</v>
      </c>
    </row>
    <row r="1497" spans="57:58">
      <c r="BE1497" s="19">
        <f t="shared" si="67"/>
        <v>1.036805555555558</v>
      </c>
      <c r="BF1497" t="e">
        <f t="shared" ca="1" si="66"/>
        <v>#VALUE!</v>
      </c>
    </row>
    <row r="1498" spans="57:58">
      <c r="BE1498" s="19">
        <f t="shared" si="67"/>
        <v>1.0375000000000025</v>
      </c>
      <c r="BF1498" t="e">
        <f t="shared" ca="1" si="66"/>
        <v>#VALUE!</v>
      </c>
    </row>
    <row r="1499" spans="57:58">
      <c r="BE1499" s="19">
        <f t="shared" si="67"/>
        <v>1.0381944444444471</v>
      </c>
      <c r="BF1499" t="e">
        <f t="shared" ca="1" si="66"/>
        <v>#VALUE!</v>
      </c>
    </row>
    <row r="1500" spans="57:58">
      <c r="BE1500" s="19">
        <f t="shared" si="67"/>
        <v>1.0388888888888916</v>
      </c>
      <c r="BF1500" t="e">
        <f t="shared" ca="1" si="66"/>
        <v>#VALUE!</v>
      </c>
    </row>
    <row r="1501" spans="57:58">
      <c r="BE1501" s="19">
        <f t="shared" si="67"/>
        <v>1.0395833333333362</v>
      </c>
      <c r="BF1501" t="e">
        <f t="shared" ca="1" si="66"/>
        <v>#VALUE!</v>
      </c>
    </row>
    <row r="1502" spans="57:58">
      <c r="BE1502" s="19">
        <f t="shared" si="67"/>
        <v>1.0402777777777807</v>
      </c>
      <c r="BF1502" t="e">
        <f t="shared" ca="1" si="66"/>
        <v>#VALUE!</v>
      </c>
    </row>
    <row r="1503" spans="57:58">
      <c r="BE1503" s="19">
        <f t="shared" si="67"/>
        <v>1.0409722222222253</v>
      </c>
      <c r="BF1503" t="e">
        <f t="shared" ca="1" si="66"/>
        <v>#VALUE!</v>
      </c>
    </row>
    <row r="1504" spans="57:58">
      <c r="BE1504" s="19">
        <f t="shared" si="67"/>
        <v>1.0416666666666698</v>
      </c>
      <c r="BF1504" t="e">
        <f t="shared" ca="1" si="66"/>
        <v>#VALUE!</v>
      </c>
    </row>
    <row r="1505" spans="57:58">
      <c r="BE1505" s="19">
        <f t="shared" si="67"/>
        <v>1.0423611111111144</v>
      </c>
      <c r="BF1505" t="e">
        <f t="shared" ca="1" si="66"/>
        <v>#VALUE!</v>
      </c>
    </row>
    <row r="1506" spans="57:58">
      <c r="BE1506" s="19">
        <f t="shared" si="67"/>
        <v>1.043055555555559</v>
      </c>
      <c r="BF1506" t="e">
        <f t="shared" ca="1" si="66"/>
        <v>#VALUE!</v>
      </c>
    </row>
    <row r="1507" spans="57:58">
      <c r="BE1507" s="19">
        <f t="shared" si="67"/>
        <v>1.0437500000000035</v>
      </c>
      <c r="BF1507" t="e">
        <f t="shared" ca="1" si="66"/>
        <v>#VALUE!</v>
      </c>
    </row>
    <row r="1508" spans="57:58">
      <c r="BE1508" s="19">
        <f t="shared" si="67"/>
        <v>1.0444444444444481</v>
      </c>
      <c r="BF1508" t="e">
        <f t="shared" ref="BF1508:BF1571" ca="1" si="68">IF(BE1508&lt;$B$5-1/1440,0,OFFSET($N$4,(BE1508-$B$4)*1440,0,1,1))</f>
        <v>#VALUE!</v>
      </c>
    </row>
    <row r="1509" spans="57:58">
      <c r="BE1509" s="19">
        <f t="shared" si="67"/>
        <v>1.0451388888888926</v>
      </c>
      <c r="BF1509" t="e">
        <f t="shared" ca="1" si="68"/>
        <v>#VALUE!</v>
      </c>
    </row>
    <row r="1510" spans="57:58">
      <c r="BE1510" s="19">
        <f t="shared" si="67"/>
        <v>1.0458333333333372</v>
      </c>
      <c r="BF1510" t="e">
        <f t="shared" ca="1" si="68"/>
        <v>#VALUE!</v>
      </c>
    </row>
    <row r="1511" spans="57:58">
      <c r="BE1511" s="19">
        <f t="shared" si="67"/>
        <v>1.0465277777777817</v>
      </c>
      <c r="BF1511" t="e">
        <f t="shared" ca="1" si="68"/>
        <v>#VALUE!</v>
      </c>
    </row>
    <row r="1512" spans="57:58">
      <c r="BE1512" s="19">
        <f t="shared" si="67"/>
        <v>1.0472222222222263</v>
      </c>
      <c r="BF1512" t="e">
        <f t="shared" ca="1" si="68"/>
        <v>#VALUE!</v>
      </c>
    </row>
    <row r="1513" spans="57:58">
      <c r="BE1513" s="19">
        <f t="shared" si="67"/>
        <v>1.0479166666666708</v>
      </c>
      <c r="BF1513" t="e">
        <f t="shared" ca="1" si="68"/>
        <v>#VALUE!</v>
      </c>
    </row>
    <row r="1514" spans="57:58">
      <c r="BE1514" s="19">
        <f t="shared" si="67"/>
        <v>1.0486111111111154</v>
      </c>
      <c r="BF1514" t="e">
        <f t="shared" ca="1" si="68"/>
        <v>#VALUE!</v>
      </c>
    </row>
    <row r="1515" spans="57:58">
      <c r="BE1515" s="19">
        <f t="shared" si="67"/>
        <v>1.0493055555555599</v>
      </c>
      <c r="BF1515" t="e">
        <f t="shared" ca="1" si="68"/>
        <v>#VALUE!</v>
      </c>
    </row>
    <row r="1516" spans="57:58">
      <c r="BE1516" s="19">
        <f t="shared" si="67"/>
        <v>1.0500000000000045</v>
      </c>
      <c r="BF1516" t="e">
        <f t="shared" ca="1" si="68"/>
        <v>#VALUE!</v>
      </c>
    </row>
    <row r="1517" spans="57:58">
      <c r="BE1517" s="19">
        <f t="shared" si="67"/>
        <v>1.050694444444449</v>
      </c>
      <c r="BF1517" t="e">
        <f t="shared" ca="1" si="68"/>
        <v>#VALUE!</v>
      </c>
    </row>
    <row r="1518" spans="57:58">
      <c r="BE1518" s="19">
        <f t="shared" si="67"/>
        <v>1.0513888888888936</v>
      </c>
      <c r="BF1518" t="e">
        <f t="shared" ca="1" si="68"/>
        <v>#VALUE!</v>
      </c>
    </row>
    <row r="1519" spans="57:58">
      <c r="BE1519" s="19">
        <f t="shared" si="67"/>
        <v>1.0520833333333381</v>
      </c>
      <c r="BF1519" t="e">
        <f t="shared" ca="1" si="68"/>
        <v>#VALUE!</v>
      </c>
    </row>
    <row r="1520" spans="57:58">
      <c r="BE1520" s="19">
        <f t="shared" si="67"/>
        <v>1.0527777777777827</v>
      </c>
      <c r="BF1520" t="e">
        <f t="shared" ca="1" si="68"/>
        <v>#VALUE!</v>
      </c>
    </row>
    <row r="1521" spans="57:58">
      <c r="BE1521" s="19">
        <f t="shared" si="67"/>
        <v>1.0534722222222273</v>
      </c>
      <c r="BF1521" t="e">
        <f t="shared" ca="1" si="68"/>
        <v>#VALUE!</v>
      </c>
    </row>
    <row r="1522" spans="57:58">
      <c r="BE1522" s="19">
        <f t="shared" si="67"/>
        <v>1.0541666666666718</v>
      </c>
      <c r="BF1522" t="e">
        <f t="shared" ca="1" si="68"/>
        <v>#VALUE!</v>
      </c>
    </row>
    <row r="1523" spans="57:58">
      <c r="BE1523" s="19">
        <f t="shared" si="67"/>
        <v>1.0548611111111164</v>
      </c>
      <c r="BF1523" t="e">
        <f t="shared" ca="1" si="68"/>
        <v>#VALUE!</v>
      </c>
    </row>
    <row r="1524" spans="57:58">
      <c r="BE1524" s="19">
        <f t="shared" si="67"/>
        <v>1.0555555555555609</v>
      </c>
      <c r="BF1524" t="e">
        <f t="shared" ca="1" si="68"/>
        <v>#VALUE!</v>
      </c>
    </row>
    <row r="1525" spans="57:58">
      <c r="BE1525" s="19">
        <f t="shared" si="67"/>
        <v>1.0562500000000055</v>
      </c>
      <c r="BF1525" t="e">
        <f t="shared" ca="1" si="68"/>
        <v>#VALUE!</v>
      </c>
    </row>
    <row r="1526" spans="57:58">
      <c r="BE1526" s="19">
        <f t="shared" si="67"/>
        <v>1.05694444444445</v>
      </c>
      <c r="BF1526" t="e">
        <f t="shared" ca="1" si="68"/>
        <v>#VALUE!</v>
      </c>
    </row>
    <row r="1527" spans="57:58">
      <c r="BE1527" s="19">
        <f t="shared" si="67"/>
        <v>1.0576388888888946</v>
      </c>
      <c r="BF1527" t="e">
        <f t="shared" ca="1" si="68"/>
        <v>#VALUE!</v>
      </c>
    </row>
    <row r="1528" spans="57:58">
      <c r="BE1528" s="19">
        <f t="shared" si="67"/>
        <v>1.0583333333333391</v>
      </c>
      <c r="BF1528" t="e">
        <f t="shared" ca="1" si="68"/>
        <v>#VALUE!</v>
      </c>
    </row>
    <row r="1529" spans="57:58">
      <c r="BE1529" s="19">
        <f t="shared" si="67"/>
        <v>1.0590277777777837</v>
      </c>
      <c r="BF1529" t="e">
        <f t="shared" ca="1" si="68"/>
        <v>#VALUE!</v>
      </c>
    </row>
    <row r="1530" spans="57:58">
      <c r="BE1530" s="19">
        <f t="shared" si="67"/>
        <v>1.0597222222222282</v>
      </c>
      <c r="BF1530" t="e">
        <f t="shared" ca="1" si="68"/>
        <v>#VALUE!</v>
      </c>
    </row>
    <row r="1531" spans="57:58">
      <c r="BE1531" s="19">
        <f t="shared" si="67"/>
        <v>1.0604166666666728</v>
      </c>
      <c r="BF1531" t="e">
        <f t="shared" ca="1" si="68"/>
        <v>#VALUE!</v>
      </c>
    </row>
    <row r="1532" spans="57:58">
      <c r="BE1532" s="19">
        <f t="shared" si="67"/>
        <v>1.0611111111111173</v>
      </c>
      <c r="BF1532" t="e">
        <f t="shared" ca="1" si="68"/>
        <v>#VALUE!</v>
      </c>
    </row>
    <row r="1533" spans="57:58">
      <c r="BE1533" s="19">
        <f t="shared" si="67"/>
        <v>1.0618055555555619</v>
      </c>
      <c r="BF1533" t="e">
        <f t="shared" ca="1" si="68"/>
        <v>#VALUE!</v>
      </c>
    </row>
    <row r="1534" spans="57:58">
      <c r="BE1534" s="19">
        <f t="shared" si="67"/>
        <v>1.0625000000000064</v>
      </c>
      <c r="BF1534" t="e">
        <f t="shared" ca="1" si="68"/>
        <v>#VALUE!</v>
      </c>
    </row>
    <row r="1535" spans="57:58">
      <c r="BE1535" s="19">
        <f t="shared" si="67"/>
        <v>1.063194444444451</v>
      </c>
      <c r="BF1535" t="e">
        <f t="shared" ca="1" si="68"/>
        <v>#VALUE!</v>
      </c>
    </row>
    <row r="1536" spans="57:58">
      <c r="BE1536" s="19">
        <f t="shared" si="67"/>
        <v>1.0638888888888955</v>
      </c>
      <c r="BF1536" t="e">
        <f t="shared" ca="1" si="68"/>
        <v>#VALUE!</v>
      </c>
    </row>
    <row r="1537" spans="57:58">
      <c r="BE1537" s="19">
        <f t="shared" si="67"/>
        <v>1.0645833333333401</v>
      </c>
      <c r="BF1537" t="e">
        <f t="shared" ca="1" si="68"/>
        <v>#VALUE!</v>
      </c>
    </row>
    <row r="1538" spans="57:58">
      <c r="BE1538" s="19">
        <f t="shared" si="67"/>
        <v>1.0652777777777847</v>
      </c>
      <c r="BF1538" t="e">
        <f t="shared" ca="1" si="68"/>
        <v>#VALUE!</v>
      </c>
    </row>
    <row r="1539" spans="57:58">
      <c r="BE1539" s="19">
        <f t="shared" si="67"/>
        <v>1.0659722222222292</v>
      </c>
      <c r="BF1539" t="e">
        <f t="shared" ca="1" si="68"/>
        <v>#VALUE!</v>
      </c>
    </row>
    <row r="1540" spans="57:58">
      <c r="BE1540" s="19">
        <f t="shared" si="67"/>
        <v>1.0666666666666738</v>
      </c>
      <c r="BF1540" t="e">
        <f t="shared" ca="1" si="68"/>
        <v>#VALUE!</v>
      </c>
    </row>
    <row r="1541" spans="57:58">
      <c r="BE1541" s="19">
        <f t="shared" si="67"/>
        <v>1.0673611111111183</v>
      </c>
      <c r="BF1541" t="e">
        <f t="shared" ca="1" si="68"/>
        <v>#VALUE!</v>
      </c>
    </row>
    <row r="1542" spans="57:58">
      <c r="BE1542" s="19">
        <f t="shared" ref="BE1542:BE1605" si="69">BE1541+1/1440</f>
        <v>1.0680555555555629</v>
      </c>
      <c r="BF1542" t="e">
        <f t="shared" ca="1" si="68"/>
        <v>#VALUE!</v>
      </c>
    </row>
    <row r="1543" spans="57:58">
      <c r="BE1543" s="19">
        <f t="shared" si="69"/>
        <v>1.0687500000000074</v>
      </c>
      <c r="BF1543" t="e">
        <f t="shared" ca="1" si="68"/>
        <v>#VALUE!</v>
      </c>
    </row>
    <row r="1544" spans="57:58">
      <c r="BE1544" s="19">
        <f t="shared" si="69"/>
        <v>1.069444444444452</v>
      </c>
      <c r="BF1544" t="e">
        <f t="shared" ca="1" si="68"/>
        <v>#VALUE!</v>
      </c>
    </row>
    <row r="1545" spans="57:58">
      <c r="BE1545" s="19">
        <f t="shared" si="69"/>
        <v>1.0701388888888965</v>
      </c>
      <c r="BF1545" t="e">
        <f t="shared" ca="1" si="68"/>
        <v>#VALUE!</v>
      </c>
    </row>
    <row r="1546" spans="57:58">
      <c r="BE1546" s="19">
        <f t="shared" si="69"/>
        <v>1.0708333333333411</v>
      </c>
      <c r="BF1546" t="e">
        <f t="shared" ca="1" si="68"/>
        <v>#VALUE!</v>
      </c>
    </row>
    <row r="1547" spans="57:58">
      <c r="BE1547" s="19">
        <f t="shared" si="69"/>
        <v>1.0715277777777856</v>
      </c>
      <c r="BF1547" t="e">
        <f t="shared" ca="1" si="68"/>
        <v>#VALUE!</v>
      </c>
    </row>
    <row r="1548" spans="57:58">
      <c r="BE1548" s="19">
        <f t="shared" si="69"/>
        <v>1.0722222222222302</v>
      </c>
      <c r="BF1548" t="e">
        <f t="shared" ca="1" si="68"/>
        <v>#VALUE!</v>
      </c>
    </row>
    <row r="1549" spans="57:58">
      <c r="BE1549" s="19">
        <f t="shared" si="69"/>
        <v>1.0729166666666747</v>
      </c>
      <c r="BF1549" t="e">
        <f t="shared" ca="1" si="68"/>
        <v>#VALUE!</v>
      </c>
    </row>
    <row r="1550" spans="57:58">
      <c r="BE1550" s="19">
        <f t="shared" si="69"/>
        <v>1.0736111111111193</v>
      </c>
      <c r="BF1550" t="e">
        <f t="shared" ca="1" si="68"/>
        <v>#VALUE!</v>
      </c>
    </row>
    <row r="1551" spans="57:58">
      <c r="BE1551" s="19">
        <f t="shared" si="69"/>
        <v>1.0743055555555638</v>
      </c>
      <c r="BF1551" t="e">
        <f t="shared" ca="1" si="68"/>
        <v>#VALUE!</v>
      </c>
    </row>
    <row r="1552" spans="57:58">
      <c r="BE1552" s="19">
        <f t="shared" si="69"/>
        <v>1.0750000000000084</v>
      </c>
      <c r="BF1552" t="e">
        <f t="shared" ca="1" si="68"/>
        <v>#VALUE!</v>
      </c>
    </row>
    <row r="1553" spans="57:58">
      <c r="BE1553" s="19">
        <f t="shared" si="69"/>
        <v>1.0756944444444529</v>
      </c>
      <c r="BF1553" t="e">
        <f t="shared" ca="1" si="68"/>
        <v>#VALUE!</v>
      </c>
    </row>
    <row r="1554" spans="57:58">
      <c r="BE1554" s="19">
        <f t="shared" si="69"/>
        <v>1.0763888888888975</v>
      </c>
      <c r="BF1554" t="e">
        <f t="shared" ca="1" si="68"/>
        <v>#VALUE!</v>
      </c>
    </row>
    <row r="1555" spans="57:58">
      <c r="BE1555" s="19">
        <f t="shared" si="69"/>
        <v>1.0770833333333421</v>
      </c>
      <c r="BF1555" t="e">
        <f t="shared" ca="1" si="68"/>
        <v>#VALUE!</v>
      </c>
    </row>
    <row r="1556" spans="57:58">
      <c r="BE1556" s="19">
        <f t="shared" si="69"/>
        <v>1.0777777777777866</v>
      </c>
      <c r="BF1556" t="e">
        <f t="shared" ca="1" si="68"/>
        <v>#VALUE!</v>
      </c>
    </row>
    <row r="1557" spans="57:58">
      <c r="BE1557" s="19">
        <f t="shared" si="69"/>
        <v>1.0784722222222312</v>
      </c>
      <c r="BF1557" t="e">
        <f t="shared" ca="1" si="68"/>
        <v>#VALUE!</v>
      </c>
    </row>
    <row r="1558" spans="57:58">
      <c r="BE1558" s="19">
        <f t="shared" si="69"/>
        <v>1.0791666666666757</v>
      </c>
      <c r="BF1558" t="e">
        <f t="shared" ca="1" si="68"/>
        <v>#VALUE!</v>
      </c>
    </row>
    <row r="1559" spans="57:58">
      <c r="BE1559" s="19">
        <f t="shared" si="69"/>
        <v>1.0798611111111203</v>
      </c>
      <c r="BF1559" t="e">
        <f t="shared" ca="1" si="68"/>
        <v>#VALUE!</v>
      </c>
    </row>
    <row r="1560" spans="57:58">
      <c r="BE1560" s="19">
        <f t="shared" si="69"/>
        <v>1.0805555555555648</v>
      </c>
      <c r="BF1560" t="e">
        <f t="shared" ca="1" si="68"/>
        <v>#VALUE!</v>
      </c>
    </row>
    <row r="1561" spans="57:58">
      <c r="BE1561" s="19">
        <f t="shared" si="69"/>
        <v>1.0812500000000094</v>
      </c>
      <c r="BF1561" t="e">
        <f t="shared" ca="1" si="68"/>
        <v>#VALUE!</v>
      </c>
    </row>
    <row r="1562" spans="57:58">
      <c r="BE1562" s="19">
        <f t="shared" si="69"/>
        <v>1.0819444444444539</v>
      </c>
      <c r="BF1562" t="e">
        <f t="shared" ca="1" si="68"/>
        <v>#VALUE!</v>
      </c>
    </row>
    <row r="1563" spans="57:58">
      <c r="BE1563" s="19">
        <f t="shared" si="69"/>
        <v>1.0826388888888985</v>
      </c>
      <c r="BF1563" t="e">
        <f t="shared" ca="1" si="68"/>
        <v>#VALUE!</v>
      </c>
    </row>
    <row r="1564" spans="57:58">
      <c r="BE1564" s="19">
        <f t="shared" si="69"/>
        <v>1.083333333333343</v>
      </c>
      <c r="BF1564" t="e">
        <f t="shared" ca="1" si="68"/>
        <v>#VALUE!</v>
      </c>
    </row>
    <row r="1565" spans="57:58">
      <c r="BE1565" s="19">
        <f t="shared" si="69"/>
        <v>1.0840277777777876</v>
      </c>
      <c r="BF1565" t="e">
        <f t="shared" ca="1" si="68"/>
        <v>#VALUE!</v>
      </c>
    </row>
    <row r="1566" spans="57:58">
      <c r="BE1566" s="19">
        <f t="shared" si="69"/>
        <v>1.0847222222222321</v>
      </c>
      <c r="BF1566" t="e">
        <f t="shared" ca="1" si="68"/>
        <v>#VALUE!</v>
      </c>
    </row>
    <row r="1567" spans="57:58">
      <c r="BE1567" s="19">
        <f t="shared" si="69"/>
        <v>1.0854166666666767</v>
      </c>
      <c r="BF1567" t="e">
        <f t="shared" ca="1" si="68"/>
        <v>#VALUE!</v>
      </c>
    </row>
    <row r="1568" spans="57:58">
      <c r="BE1568" s="19">
        <f t="shared" si="69"/>
        <v>1.0861111111111212</v>
      </c>
      <c r="BF1568" t="e">
        <f t="shared" ca="1" si="68"/>
        <v>#VALUE!</v>
      </c>
    </row>
    <row r="1569" spans="57:58">
      <c r="BE1569" s="19">
        <f t="shared" si="69"/>
        <v>1.0868055555555658</v>
      </c>
      <c r="BF1569" t="e">
        <f t="shared" ca="1" si="68"/>
        <v>#VALUE!</v>
      </c>
    </row>
    <row r="1570" spans="57:58">
      <c r="BE1570" s="19">
        <f t="shared" si="69"/>
        <v>1.0875000000000103</v>
      </c>
      <c r="BF1570" t="e">
        <f t="shared" ca="1" si="68"/>
        <v>#VALUE!</v>
      </c>
    </row>
    <row r="1571" spans="57:58">
      <c r="BE1571" s="19">
        <f t="shared" si="69"/>
        <v>1.0881944444444549</v>
      </c>
      <c r="BF1571" t="e">
        <f t="shared" ca="1" si="68"/>
        <v>#VALUE!</v>
      </c>
    </row>
    <row r="1572" spans="57:58">
      <c r="BE1572" s="19">
        <f t="shared" si="69"/>
        <v>1.0888888888888995</v>
      </c>
      <c r="BF1572" t="e">
        <f t="shared" ref="BF1572:BF1635" ca="1" si="70">IF(BE1572&lt;$B$5-1/1440,0,OFFSET($N$4,(BE1572-$B$4)*1440,0,1,1))</f>
        <v>#VALUE!</v>
      </c>
    </row>
    <row r="1573" spans="57:58">
      <c r="BE1573" s="19">
        <f t="shared" si="69"/>
        <v>1.089583333333344</v>
      </c>
      <c r="BF1573" t="e">
        <f t="shared" ca="1" si="70"/>
        <v>#VALUE!</v>
      </c>
    </row>
    <row r="1574" spans="57:58">
      <c r="BE1574" s="19">
        <f t="shared" si="69"/>
        <v>1.0902777777777886</v>
      </c>
      <c r="BF1574" t="e">
        <f t="shared" ca="1" si="70"/>
        <v>#VALUE!</v>
      </c>
    </row>
    <row r="1575" spans="57:58">
      <c r="BE1575" s="19">
        <f t="shared" si="69"/>
        <v>1.0909722222222331</v>
      </c>
      <c r="BF1575" t="e">
        <f t="shared" ca="1" si="70"/>
        <v>#VALUE!</v>
      </c>
    </row>
    <row r="1576" spans="57:58">
      <c r="BE1576" s="19">
        <f t="shared" si="69"/>
        <v>1.0916666666666777</v>
      </c>
      <c r="BF1576" t="e">
        <f t="shared" ca="1" si="70"/>
        <v>#VALUE!</v>
      </c>
    </row>
    <row r="1577" spans="57:58">
      <c r="BE1577" s="19">
        <f t="shared" si="69"/>
        <v>1.0923611111111222</v>
      </c>
      <c r="BF1577" t="e">
        <f t="shared" ca="1" si="70"/>
        <v>#VALUE!</v>
      </c>
    </row>
    <row r="1578" spans="57:58">
      <c r="BE1578" s="19">
        <f t="shared" si="69"/>
        <v>1.0930555555555668</v>
      </c>
      <c r="BF1578" t="e">
        <f t="shared" ca="1" si="70"/>
        <v>#VALUE!</v>
      </c>
    </row>
    <row r="1579" spans="57:58">
      <c r="BE1579" s="19">
        <f t="shared" si="69"/>
        <v>1.0937500000000113</v>
      </c>
      <c r="BF1579" t="e">
        <f t="shared" ca="1" si="70"/>
        <v>#VALUE!</v>
      </c>
    </row>
    <row r="1580" spans="57:58">
      <c r="BE1580" s="19">
        <f t="shared" si="69"/>
        <v>1.0944444444444559</v>
      </c>
      <c r="BF1580" t="e">
        <f t="shared" ca="1" si="70"/>
        <v>#VALUE!</v>
      </c>
    </row>
    <row r="1581" spans="57:58">
      <c r="BE1581" s="19">
        <f t="shared" si="69"/>
        <v>1.0951388888889004</v>
      </c>
      <c r="BF1581" t="e">
        <f t="shared" ca="1" si="70"/>
        <v>#VALUE!</v>
      </c>
    </row>
    <row r="1582" spans="57:58">
      <c r="BE1582" s="19">
        <f t="shared" si="69"/>
        <v>1.095833333333345</v>
      </c>
      <c r="BF1582" t="e">
        <f t="shared" ca="1" si="70"/>
        <v>#VALUE!</v>
      </c>
    </row>
    <row r="1583" spans="57:58">
      <c r="BE1583" s="19">
        <f t="shared" si="69"/>
        <v>1.0965277777777895</v>
      </c>
      <c r="BF1583" t="e">
        <f t="shared" ca="1" si="70"/>
        <v>#VALUE!</v>
      </c>
    </row>
    <row r="1584" spans="57:58">
      <c r="BE1584" s="19">
        <f t="shared" si="69"/>
        <v>1.0972222222222341</v>
      </c>
      <c r="BF1584" t="e">
        <f t="shared" ca="1" si="70"/>
        <v>#VALUE!</v>
      </c>
    </row>
    <row r="1585" spans="57:58">
      <c r="BE1585" s="19">
        <f t="shared" si="69"/>
        <v>1.0979166666666786</v>
      </c>
      <c r="BF1585" t="e">
        <f t="shared" ca="1" si="70"/>
        <v>#VALUE!</v>
      </c>
    </row>
    <row r="1586" spans="57:58">
      <c r="BE1586" s="19">
        <f t="shared" si="69"/>
        <v>1.0986111111111232</v>
      </c>
      <c r="BF1586" t="e">
        <f t="shared" ca="1" si="70"/>
        <v>#VALUE!</v>
      </c>
    </row>
    <row r="1587" spans="57:58">
      <c r="BE1587" s="19">
        <f t="shared" si="69"/>
        <v>1.0993055555555677</v>
      </c>
      <c r="BF1587" t="e">
        <f t="shared" ca="1" si="70"/>
        <v>#VALUE!</v>
      </c>
    </row>
    <row r="1588" spans="57:58">
      <c r="BE1588" s="19">
        <f t="shared" si="69"/>
        <v>1.1000000000000123</v>
      </c>
      <c r="BF1588" t="e">
        <f t="shared" ca="1" si="70"/>
        <v>#VALUE!</v>
      </c>
    </row>
    <row r="1589" spans="57:58">
      <c r="BE1589" s="19">
        <f t="shared" si="69"/>
        <v>1.1006944444444569</v>
      </c>
      <c r="BF1589" t="e">
        <f t="shared" ca="1" si="70"/>
        <v>#VALUE!</v>
      </c>
    </row>
    <row r="1590" spans="57:58">
      <c r="BE1590" s="19">
        <f t="shared" si="69"/>
        <v>1.1013888888889014</v>
      </c>
      <c r="BF1590" t="e">
        <f t="shared" ca="1" si="70"/>
        <v>#VALUE!</v>
      </c>
    </row>
    <row r="1591" spans="57:58">
      <c r="BE1591" s="19">
        <f t="shared" si="69"/>
        <v>1.102083333333346</v>
      </c>
      <c r="BF1591" t="e">
        <f t="shared" ca="1" si="70"/>
        <v>#VALUE!</v>
      </c>
    </row>
    <row r="1592" spans="57:58">
      <c r="BE1592" s="19">
        <f t="shared" si="69"/>
        <v>1.1027777777777905</v>
      </c>
      <c r="BF1592" t="e">
        <f t="shared" ca="1" si="70"/>
        <v>#VALUE!</v>
      </c>
    </row>
    <row r="1593" spans="57:58">
      <c r="BE1593" s="19">
        <f t="shared" si="69"/>
        <v>1.1034722222222351</v>
      </c>
      <c r="BF1593" t="e">
        <f t="shared" ca="1" si="70"/>
        <v>#VALUE!</v>
      </c>
    </row>
    <row r="1594" spans="57:58">
      <c r="BE1594" s="19">
        <f t="shared" si="69"/>
        <v>1.1041666666666796</v>
      </c>
      <c r="BF1594" t="e">
        <f t="shared" ca="1" si="70"/>
        <v>#VALUE!</v>
      </c>
    </row>
    <row r="1595" spans="57:58">
      <c r="BE1595" s="19">
        <f t="shared" si="69"/>
        <v>1.1048611111111242</v>
      </c>
      <c r="BF1595" t="e">
        <f t="shared" ca="1" si="70"/>
        <v>#VALUE!</v>
      </c>
    </row>
    <row r="1596" spans="57:58">
      <c r="BE1596" s="19">
        <f t="shared" si="69"/>
        <v>1.1055555555555687</v>
      </c>
      <c r="BF1596" t="e">
        <f t="shared" ca="1" si="70"/>
        <v>#VALUE!</v>
      </c>
    </row>
    <row r="1597" spans="57:58">
      <c r="BE1597" s="19">
        <f t="shared" si="69"/>
        <v>1.1062500000000133</v>
      </c>
      <c r="BF1597" t="e">
        <f t="shared" ca="1" si="70"/>
        <v>#VALUE!</v>
      </c>
    </row>
    <row r="1598" spans="57:58">
      <c r="BE1598" s="19">
        <f t="shared" si="69"/>
        <v>1.1069444444444578</v>
      </c>
      <c r="BF1598" t="e">
        <f t="shared" ca="1" si="70"/>
        <v>#VALUE!</v>
      </c>
    </row>
    <row r="1599" spans="57:58">
      <c r="BE1599" s="19">
        <f t="shared" si="69"/>
        <v>1.1076388888889024</v>
      </c>
      <c r="BF1599" t="e">
        <f t="shared" ca="1" si="70"/>
        <v>#VALUE!</v>
      </c>
    </row>
    <row r="1600" spans="57:58">
      <c r="BE1600" s="19">
        <f t="shared" si="69"/>
        <v>1.1083333333333469</v>
      </c>
      <c r="BF1600" t="e">
        <f t="shared" ca="1" si="70"/>
        <v>#VALUE!</v>
      </c>
    </row>
    <row r="1601" spans="57:58">
      <c r="BE1601" s="19">
        <f t="shared" si="69"/>
        <v>1.1090277777777915</v>
      </c>
      <c r="BF1601" t="e">
        <f t="shared" ca="1" si="70"/>
        <v>#VALUE!</v>
      </c>
    </row>
    <row r="1602" spans="57:58">
      <c r="BE1602" s="19">
        <f t="shared" si="69"/>
        <v>1.109722222222236</v>
      </c>
      <c r="BF1602" t="e">
        <f t="shared" ca="1" si="70"/>
        <v>#VALUE!</v>
      </c>
    </row>
    <row r="1603" spans="57:58">
      <c r="BE1603" s="19">
        <f t="shared" si="69"/>
        <v>1.1104166666666806</v>
      </c>
      <c r="BF1603" t="e">
        <f t="shared" ca="1" si="70"/>
        <v>#VALUE!</v>
      </c>
    </row>
    <row r="1604" spans="57:58">
      <c r="BE1604" s="19">
        <f t="shared" si="69"/>
        <v>1.1111111111111251</v>
      </c>
      <c r="BF1604" t="e">
        <f t="shared" ca="1" si="70"/>
        <v>#VALUE!</v>
      </c>
    </row>
    <row r="1605" spans="57:58">
      <c r="BE1605" s="19">
        <f t="shared" si="69"/>
        <v>1.1118055555555697</v>
      </c>
      <c r="BF1605" t="e">
        <f t="shared" ca="1" si="70"/>
        <v>#VALUE!</v>
      </c>
    </row>
    <row r="1606" spans="57:58">
      <c r="BE1606" s="19">
        <f t="shared" ref="BE1606:BE1669" si="71">BE1605+1/1440</f>
        <v>1.1125000000000143</v>
      </c>
      <c r="BF1606" t="e">
        <f t="shared" ca="1" si="70"/>
        <v>#VALUE!</v>
      </c>
    </row>
    <row r="1607" spans="57:58">
      <c r="BE1607" s="19">
        <f t="shared" si="71"/>
        <v>1.1131944444444588</v>
      </c>
      <c r="BF1607" t="e">
        <f t="shared" ca="1" si="70"/>
        <v>#VALUE!</v>
      </c>
    </row>
    <row r="1608" spans="57:58">
      <c r="BE1608" s="19">
        <f t="shared" si="71"/>
        <v>1.1138888888889034</v>
      </c>
      <c r="BF1608" t="e">
        <f t="shared" ca="1" si="70"/>
        <v>#VALUE!</v>
      </c>
    </row>
    <row r="1609" spans="57:58">
      <c r="BE1609" s="19">
        <f t="shared" si="71"/>
        <v>1.1145833333333479</v>
      </c>
      <c r="BF1609" t="e">
        <f t="shared" ca="1" si="70"/>
        <v>#VALUE!</v>
      </c>
    </row>
    <row r="1610" spans="57:58">
      <c r="BE1610" s="19">
        <f t="shared" si="71"/>
        <v>1.1152777777777925</v>
      </c>
      <c r="BF1610" t="e">
        <f t="shared" ca="1" si="70"/>
        <v>#VALUE!</v>
      </c>
    </row>
    <row r="1611" spans="57:58">
      <c r="BE1611" s="19">
        <f t="shared" si="71"/>
        <v>1.115972222222237</v>
      </c>
      <c r="BF1611" t="e">
        <f t="shared" ca="1" si="70"/>
        <v>#VALUE!</v>
      </c>
    </row>
    <row r="1612" spans="57:58">
      <c r="BE1612" s="19">
        <f t="shared" si="71"/>
        <v>1.1166666666666816</v>
      </c>
      <c r="BF1612" t="e">
        <f t="shared" ca="1" si="70"/>
        <v>#VALUE!</v>
      </c>
    </row>
    <row r="1613" spans="57:58">
      <c r="BE1613" s="19">
        <f t="shared" si="71"/>
        <v>1.1173611111111261</v>
      </c>
      <c r="BF1613" t="e">
        <f t="shared" ca="1" si="70"/>
        <v>#VALUE!</v>
      </c>
    </row>
    <row r="1614" spans="57:58">
      <c r="BE1614" s="19">
        <f t="shared" si="71"/>
        <v>1.1180555555555707</v>
      </c>
      <c r="BF1614" t="e">
        <f t="shared" ca="1" si="70"/>
        <v>#VALUE!</v>
      </c>
    </row>
    <row r="1615" spans="57:58">
      <c r="BE1615" s="19">
        <f t="shared" si="71"/>
        <v>1.1187500000000152</v>
      </c>
      <c r="BF1615" t="e">
        <f t="shared" ca="1" si="70"/>
        <v>#VALUE!</v>
      </c>
    </row>
    <row r="1616" spans="57:58">
      <c r="BE1616" s="19">
        <f t="shared" si="71"/>
        <v>1.1194444444444598</v>
      </c>
      <c r="BF1616" t="e">
        <f t="shared" ca="1" si="70"/>
        <v>#VALUE!</v>
      </c>
    </row>
    <row r="1617" spans="57:58">
      <c r="BE1617" s="19">
        <f t="shared" si="71"/>
        <v>1.1201388888889043</v>
      </c>
      <c r="BF1617" t="e">
        <f t="shared" ca="1" si="70"/>
        <v>#VALUE!</v>
      </c>
    </row>
    <row r="1618" spans="57:58">
      <c r="BE1618" s="19">
        <f t="shared" si="71"/>
        <v>1.1208333333333489</v>
      </c>
      <c r="BF1618" t="e">
        <f t="shared" ca="1" si="70"/>
        <v>#VALUE!</v>
      </c>
    </row>
    <row r="1619" spans="57:58">
      <c r="BE1619" s="19">
        <f t="shared" si="71"/>
        <v>1.1215277777777934</v>
      </c>
      <c r="BF1619" t="e">
        <f t="shared" ca="1" si="70"/>
        <v>#VALUE!</v>
      </c>
    </row>
    <row r="1620" spans="57:58">
      <c r="BE1620" s="19">
        <f t="shared" si="71"/>
        <v>1.122222222222238</v>
      </c>
      <c r="BF1620" t="e">
        <f t="shared" ca="1" si="70"/>
        <v>#VALUE!</v>
      </c>
    </row>
    <row r="1621" spans="57:58">
      <c r="BE1621" s="19">
        <f t="shared" si="71"/>
        <v>1.1229166666666826</v>
      </c>
      <c r="BF1621" t="e">
        <f t="shared" ca="1" si="70"/>
        <v>#VALUE!</v>
      </c>
    </row>
    <row r="1622" spans="57:58">
      <c r="BE1622" s="19">
        <f t="shared" si="71"/>
        <v>1.1236111111111271</v>
      </c>
      <c r="BF1622" t="e">
        <f t="shared" ca="1" si="70"/>
        <v>#VALUE!</v>
      </c>
    </row>
    <row r="1623" spans="57:58">
      <c r="BE1623" s="19">
        <f t="shared" si="71"/>
        <v>1.1243055555555717</v>
      </c>
      <c r="BF1623" t="e">
        <f t="shared" ca="1" si="70"/>
        <v>#VALUE!</v>
      </c>
    </row>
    <row r="1624" spans="57:58">
      <c r="BE1624" s="19">
        <f t="shared" si="71"/>
        <v>1.1250000000000162</v>
      </c>
      <c r="BF1624" t="e">
        <f t="shared" ca="1" si="70"/>
        <v>#VALUE!</v>
      </c>
    </row>
    <row r="1625" spans="57:58">
      <c r="BE1625" s="19">
        <f t="shared" si="71"/>
        <v>1.1256944444444608</v>
      </c>
      <c r="BF1625" t="e">
        <f t="shared" ca="1" si="70"/>
        <v>#VALUE!</v>
      </c>
    </row>
    <row r="1626" spans="57:58">
      <c r="BE1626" s="19">
        <f t="shared" si="71"/>
        <v>1.1263888888889053</v>
      </c>
      <c r="BF1626" t="e">
        <f t="shared" ca="1" si="70"/>
        <v>#VALUE!</v>
      </c>
    </row>
    <row r="1627" spans="57:58">
      <c r="BE1627" s="19">
        <f t="shared" si="71"/>
        <v>1.1270833333333499</v>
      </c>
      <c r="BF1627" t="e">
        <f t="shared" ca="1" si="70"/>
        <v>#VALUE!</v>
      </c>
    </row>
    <row r="1628" spans="57:58">
      <c r="BE1628" s="19">
        <f t="shared" si="71"/>
        <v>1.1277777777777944</v>
      </c>
      <c r="BF1628" t="e">
        <f t="shared" ca="1" si="70"/>
        <v>#VALUE!</v>
      </c>
    </row>
    <row r="1629" spans="57:58">
      <c r="BE1629" s="19">
        <f t="shared" si="71"/>
        <v>1.128472222222239</v>
      </c>
      <c r="BF1629" t="e">
        <f t="shared" ca="1" si="70"/>
        <v>#VALUE!</v>
      </c>
    </row>
    <row r="1630" spans="57:58">
      <c r="BE1630" s="19">
        <f t="shared" si="71"/>
        <v>1.1291666666666835</v>
      </c>
      <c r="BF1630" t="e">
        <f t="shared" ca="1" si="70"/>
        <v>#VALUE!</v>
      </c>
    </row>
    <row r="1631" spans="57:58">
      <c r="BE1631" s="19">
        <f t="shared" si="71"/>
        <v>1.1298611111111281</v>
      </c>
      <c r="BF1631" t="e">
        <f t="shared" ca="1" si="70"/>
        <v>#VALUE!</v>
      </c>
    </row>
    <row r="1632" spans="57:58">
      <c r="BE1632" s="19">
        <f t="shared" si="71"/>
        <v>1.1305555555555726</v>
      </c>
      <c r="BF1632" t="e">
        <f t="shared" ca="1" si="70"/>
        <v>#VALUE!</v>
      </c>
    </row>
    <row r="1633" spans="57:58">
      <c r="BE1633" s="19">
        <f t="shared" si="71"/>
        <v>1.1312500000000172</v>
      </c>
      <c r="BF1633" t="e">
        <f t="shared" ca="1" si="70"/>
        <v>#VALUE!</v>
      </c>
    </row>
    <row r="1634" spans="57:58">
      <c r="BE1634" s="19">
        <f t="shared" si="71"/>
        <v>1.1319444444444617</v>
      </c>
      <c r="BF1634" t="e">
        <f t="shared" ca="1" si="70"/>
        <v>#VALUE!</v>
      </c>
    </row>
    <row r="1635" spans="57:58">
      <c r="BE1635" s="19">
        <f t="shared" si="71"/>
        <v>1.1326388888889063</v>
      </c>
      <c r="BF1635" t="e">
        <f t="shared" ca="1" si="70"/>
        <v>#VALUE!</v>
      </c>
    </row>
    <row r="1636" spans="57:58">
      <c r="BE1636" s="19">
        <f t="shared" si="71"/>
        <v>1.1333333333333508</v>
      </c>
      <c r="BF1636" t="e">
        <f t="shared" ref="BF1636:BF1699" ca="1" si="72">IF(BE1636&lt;$B$5-1/1440,0,OFFSET($N$4,(BE1636-$B$4)*1440,0,1,1))</f>
        <v>#VALUE!</v>
      </c>
    </row>
    <row r="1637" spans="57:58">
      <c r="BE1637" s="19">
        <f t="shared" si="71"/>
        <v>1.1340277777777954</v>
      </c>
      <c r="BF1637" t="e">
        <f t="shared" ca="1" si="72"/>
        <v>#VALUE!</v>
      </c>
    </row>
    <row r="1638" spans="57:58">
      <c r="BE1638" s="19">
        <f t="shared" si="71"/>
        <v>1.13472222222224</v>
      </c>
      <c r="BF1638" t="e">
        <f t="shared" ca="1" si="72"/>
        <v>#VALUE!</v>
      </c>
    </row>
    <row r="1639" spans="57:58">
      <c r="BE1639" s="19">
        <f t="shared" si="71"/>
        <v>1.1354166666666845</v>
      </c>
      <c r="BF1639" t="e">
        <f t="shared" ca="1" si="72"/>
        <v>#VALUE!</v>
      </c>
    </row>
    <row r="1640" spans="57:58">
      <c r="BE1640" s="19">
        <f t="shared" si="71"/>
        <v>1.1361111111111291</v>
      </c>
      <c r="BF1640" t="e">
        <f t="shared" ca="1" si="72"/>
        <v>#VALUE!</v>
      </c>
    </row>
    <row r="1641" spans="57:58">
      <c r="BE1641" s="19">
        <f t="shared" si="71"/>
        <v>1.1368055555555736</v>
      </c>
      <c r="BF1641" t="e">
        <f t="shared" ca="1" si="72"/>
        <v>#VALUE!</v>
      </c>
    </row>
    <row r="1642" spans="57:58">
      <c r="BE1642" s="19">
        <f t="shared" si="71"/>
        <v>1.1375000000000182</v>
      </c>
      <c r="BF1642" t="e">
        <f t="shared" ca="1" si="72"/>
        <v>#VALUE!</v>
      </c>
    </row>
    <row r="1643" spans="57:58">
      <c r="BE1643" s="19">
        <f t="shared" si="71"/>
        <v>1.1381944444444627</v>
      </c>
      <c r="BF1643" t="e">
        <f t="shared" ca="1" si="72"/>
        <v>#VALUE!</v>
      </c>
    </row>
    <row r="1644" spans="57:58">
      <c r="BE1644" s="19">
        <f t="shared" si="71"/>
        <v>1.1388888888889073</v>
      </c>
      <c r="BF1644" t="e">
        <f t="shared" ca="1" si="72"/>
        <v>#VALUE!</v>
      </c>
    </row>
    <row r="1645" spans="57:58">
      <c r="BE1645" s="19">
        <f t="shared" si="71"/>
        <v>1.1395833333333518</v>
      </c>
      <c r="BF1645" t="e">
        <f t="shared" ca="1" si="72"/>
        <v>#VALUE!</v>
      </c>
    </row>
    <row r="1646" spans="57:58">
      <c r="BE1646" s="19">
        <f t="shared" si="71"/>
        <v>1.1402777777777964</v>
      </c>
      <c r="BF1646" t="e">
        <f t="shared" ca="1" si="72"/>
        <v>#VALUE!</v>
      </c>
    </row>
    <row r="1647" spans="57:58">
      <c r="BE1647" s="19">
        <f t="shared" si="71"/>
        <v>1.1409722222222409</v>
      </c>
      <c r="BF1647" t="e">
        <f t="shared" ca="1" si="72"/>
        <v>#VALUE!</v>
      </c>
    </row>
    <row r="1648" spans="57:58">
      <c r="BE1648" s="19">
        <f t="shared" si="71"/>
        <v>1.1416666666666855</v>
      </c>
      <c r="BF1648" t="e">
        <f t="shared" ca="1" si="72"/>
        <v>#VALUE!</v>
      </c>
    </row>
    <row r="1649" spans="57:58">
      <c r="BE1649" s="19">
        <f t="shared" si="71"/>
        <v>1.14236111111113</v>
      </c>
      <c r="BF1649" t="e">
        <f t="shared" ca="1" si="72"/>
        <v>#VALUE!</v>
      </c>
    </row>
    <row r="1650" spans="57:58">
      <c r="BE1650" s="19">
        <f t="shared" si="71"/>
        <v>1.1430555555555746</v>
      </c>
      <c r="BF1650" t="e">
        <f t="shared" ca="1" si="72"/>
        <v>#VALUE!</v>
      </c>
    </row>
    <row r="1651" spans="57:58">
      <c r="BE1651" s="19">
        <f t="shared" si="71"/>
        <v>1.1437500000000191</v>
      </c>
      <c r="BF1651" t="e">
        <f t="shared" ca="1" si="72"/>
        <v>#VALUE!</v>
      </c>
    </row>
    <row r="1652" spans="57:58">
      <c r="BE1652" s="19">
        <f t="shared" si="71"/>
        <v>1.1444444444444637</v>
      </c>
      <c r="BF1652" t="e">
        <f t="shared" ca="1" si="72"/>
        <v>#VALUE!</v>
      </c>
    </row>
    <row r="1653" spans="57:58">
      <c r="BE1653" s="19">
        <f t="shared" si="71"/>
        <v>1.1451388888889082</v>
      </c>
      <c r="BF1653" t="e">
        <f t="shared" ca="1" si="72"/>
        <v>#VALUE!</v>
      </c>
    </row>
    <row r="1654" spans="57:58">
      <c r="BE1654" s="19">
        <f t="shared" si="71"/>
        <v>1.1458333333333528</v>
      </c>
      <c r="BF1654" t="e">
        <f t="shared" ca="1" si="72"/>
        <v>#VALUE!</v>
      </c>
    </row>
    <row r="1655" spans="57:58">
      <c r="BE1655" s="19">
        <f t="shared" si="71"/>
        <v>1.1465277777777974</v>
      </c>
      <c r="BF1655" t="e">
        <f t="shared" ca="1" si="72"/>
        <v>#VALUE!</v>
      </c>
    </row>
    <row r="1656" spans="57:58">
      <c r="BE1656" s="19">
        <f t="shared" si="71"/>
        <v>1.1472222222222419</v>
      </c>
      <c r="BF1656" t="e">
        <f t="shared" ca="1" si="72"/>
        <v>#VALUE!</v>
      </c>
    </row>
    <row r="1657" spans="57:58">
      <c r="BE1657" s="19">
        <f t="shared" si="71"/>
        <v>1.1479166666666865</v>
      </c>
      <c r="BF1657" t="e">
        <f t="shared" ca="1" si="72"/>
        <v>#VALUE!</v>
      </c>
    </row>
    <row r="1658" spans="57:58">
      <c r="BE1658" s="19">
        <f t="shared" si="71"/>
        <v>1.148611111111131</v>
      </c>
      <c r="BF1658" t="e">
        <f t="shared" ca="1" si="72"/>
        <v>#VALUE!</v>
      </c>
    </row>
    <row r="1659" spans="57:58">
      <c r="BE1659" s="19">
        <f t="shared" si="71"/>
        <v>1.1493055555555756</v>
      </c>
      <c r="BF1659" t="e">
        <f t="shared" ca="1" si="72"/>
        <v>#VALUE!</v>
      </c>
    </row>
    <row r="1660" spans="57:58">
      <c r="BE1660" s="19">
        <f t="shared" si="71"/>
        <v>1.1500000000000201</v>
      </c>
      <c r="BF1660" t="e">
        <f t="shared" ca="1" si="72"/>
        <v>#VALUE!</v>
      </c>
    </row>
    <row r="1661" spans="57:58">
      <c r="BE1661" s="19">
        <f t="shared" si="71"/>
        <v>1.1506944444444647</v>
      </c>
      <c r="BF1661" t="e">
        <f t="shared" ca="1" si="72"/>
        <v>#VALUE!</v>
      </c>
    </row>
    <row r="1662" spans="57:58">
      <c r="BE1662" s="19">
        <f t="shared" si="71"/>
        <v>1.1513888888889092</v>
      </c>
      <c r="BF1662" t="e">
        <f t="shared" ca="1" si="72"/>
        <v>#VALUE!</v>
      </c>
    </row>
    <row r="1663" spans="57:58">
      <c r="BE1663" s="19">
        <f t="shared" si="71"/>
        <v>1.1520833333333538</v>
      </c>
      <c r="BF1663" t="e">
        <f t="shared" ca="1" si="72"/>
        <v>#VALUE!</v>
      </c>
    </row>
    <row r="1664" spans="57:58">
      <c r="BE1664" s="19">
        <f t="shared" si="71"/>
        <v>1.1527777777777983</v>
      </c>
      <c r="BF1664" t="e">
        <f t="shared" ca="1" si="72"/>
        <v>#VALUE!</v>
      </c>
    </row>
    <row r="1665" spans="57:58">
      <c r="BE1665" s="19">
        <f t="shared" si="71"/>
        <v>1.1534722222222429</v>
      </c>
      <c r="BF1665" t="e">
        <f t="shared" ca="1" si="72"/>
        <v>#VALUE!</v>
      </c>
    </row>
    <row r="1666" spans="57:58">
      <c r="BE1666" s="19">
        <f t="shared" si="71"/>
        <v>1.1541666666666874</v>
      </c>
      <c r="BF1666" t="e">
        <f t="shared" ca="1" si="72"/>
        <v>#VALUE!</v>
      </c>
    </row>
    <row r="1667" spans="57:58">
      <c r="BE1667" s="19">
        <f t="shared" si="71"/>
        <v>1.154861111111132</v>
      </c>
      <c r="BF1667" t="e">
        <f t="shared" ca="1" si="72"/>
        <v>#VALUE!</v>
      </c>
    </row>
    <row r="1668" spans="57:58">
      <c r="BE1668" s="19">
        <f t="shared" si="71"/>
        <v>1.1555555555555765</v>
      </c>
      <c r="BF1668" t="e">
        <f t="shared" ca="1" si="72"/>
        <v>#VALUE!</v>
      </c>
    </row>
    <row r="1669" spans="57:58">
      <c r="BE1669" s="19">
        <f t="shared" si="71"/>
        <v>1.1562500000000211</v>
      </c>
      <c r="BF1669" t="e">
        <f t="shared" ca="1" si="72"/>
        <v>#VALUE!</v>
      </c>
    </row>
    <row r="1670" spans="57:58">
      <c r="BE1670" s="19">
        <f t="shared" ref="BE1670:BE1733" si="73">BE1669+1/1440</f>
        <v>1.1569444444444656</v>
      </c>
      <c r="BF1670" t="e">
        <f t="shared" ca="1" si="72"/>
        <v>#VALUE!</v>
      </c>
    </row>
    <row r="1671" spans="57:58">
      <c r="BE1671" s="19">
        <f t="shared" si="73"/>
        <v>1.1576388888889102</v>
      </c>
      <c r="BF1671" t="e">
        <f t="shared" ca="1" si="72"/>
        <v>#VALUE!</v>
      </c>
    </row>
    <row r="1672" spans="57:58">
      <c r="BE1672" s="19">
        <f t="shared" si="73"/>
        <v>1.1583333333333548</v>
      </c>
      <c r="BF1672" t="e">
        <f t="shared" ca="1" si="72"/>
        <v>#VALUE!</v>
      </c>
    </row>
    <row r="1673" spans="57:58">
      <c r="BE1673" s="19">
        <f t="shared" si="73"/>
        <v>1.1590277777777993</v>
      </c>
      <c r="BF1673" t="e">
        <f t="shared" ca="1" si="72"/>
        <v>#VALUE!</v>
      </c>
    </row>
    <row r="1674" spans="57:58">
      <c r="BE1674" s="19">
        <f t="shared" si="73"/>
        <v>1.1597222222222439</v>
      </c>
      <c r="BF1674" t="e">
        <f t="shared" ca="1" si="72"/>
        <v>#VALUE!</v>
      </c>
    </row>
    <row r="1675" spans="57:58">
      <c r="BE1675" s="19">
        <f t="shared" si="73"/>
        <v>1.1604166666666884</v>
      </c>
      <c r="BF1675" t="e">
        <f t="shared" ca="1" si="72"/>
        <v>#VALUE!</v>
      </c>
    </row>
    <row r="1676" spans="57:58">
      <c r="BE1676" s="19">
        <f t="shared" si="73"/>
        <v>1.161111111111133</v>
      </c>
      <c r="BF1676" t="e">
        <f t="shared" ca="1" si="72"/>
        <v>#VALUE!</v>
      </c>
    </row>
    <row r="1677" spans="57:58">
      <c r="BE1677" s="19">
        <f t="shared" si="73"/>
        <v>1.1618055555555775</v>
      </c>
      <c r="BF1677" t="e">
        <f t="shared" ca="1" si="72"/>
        <v>#VALUE!</v>
      </c>
    </row>
    <row r="1678" spans="57:58">
      <c r="BE1678" s="19">
        <f t="shared" si="73"/>
        <v>1.1625000000000221</v>
      </c>
      <c r="BF1678" t="e">
        <f t="shared" ca="1" si="72"/>
        <v>#VALUE!</v>
      </c>
    </row>
    <row r="1679" spans="57:58">
      <c r="BE1679" s="19">
        <f t="shared" si="73"/>
        <v>1.1631944444444666</v>
      </c>
      <c r="BF1679" t="e">
        <f t="shared" ca="1" si="72"/>
        <v>#VALUE!</v>
      </c>
    </row>
    <row r="1680" spans="57:58">
      <c r="BE1680" s="19">
        <f t="shared" si="73"/>
        <v>1.1638888888889112</v>
      </c>
      <c r="BF1680" t="e">
        <f t="shared" ca="1" si="72"/>
        <v>#VALUE!</v>
      </c>
    </row>
    <row r="1681" spans="57:58">
      <c r="BE1681" s="19">
        <f t="shared" si="73"/>
        <v>1.1645833333333557</v>
      </c>
      <c r="BF1681" t="e">
        <f t="shared" ca="1" si="72"/>
        <v>#VALUE!</v>
      </c>
    </row>
    <row r="1682" spans="57:58">
      <c r="BE1682" s="19">
        <f t="shared" si="73"/>
        <v>1.1652777777778003</v>
      </c>
      <c r="BF1682" t="e">
        <f t="shared" ca="1" si="72"/>
        <v>#VALUE!</v>
      </c>
    </row>
    <row r="1683" spans="57:58">
      <c r="BE1683" s="19">
        <f t="shared" si="73"/>
        <v>1.1659722222222448</v>
      </c>
      <c r="BF1683" t="e">
        <f t="shared" ca="1" si="72"/>
        <v>#VALUE!</v>
      </c>
    </row>
    <row r="1684" spans="57:58">
      <c r="BE1684" s="19">
        <f t="shared" si="73"/>
        <v>1.1666666666666894</v>
      </c>
      <c r="BF1684" t="e">
        <f t="shared" ca="1" si="72"/>
        <v>#VALUE!</v>
      </c>
    </row>
    <row r="1685" spans="57:58">
      <c r="BE1685" s="19">
        <f t="shared" si="73"/>
        <v>1.1673611111111339</v>
      </c>
      <c r="BF1685" t="e">
        <f t="shared" ca="1" si="72"/>
        <v>#VALUE!</v>
      </c>
    </row>
    <row r="1686" spans="57:58">
      <c r="BE1686" s="19">
        <f t="shared" si="73"/>
        <v>1.1680555555555785</v>
      </c>
      <c r="BF1686" t="e">
        <f t="shared" ca="1" si="72"/>
        <v>#VALUE!</v>
      </c>
    </row>
    <row r="1687" spans="57:58">
      <c r="BE1687" s="19">
        <f t="shared" si="73"/>
        <v>1.168750000000023</v>
      </c>
      <c r="BF1687" t="e">
        <f t="shared" ca="1" si="72"/>
        <v>#VALUE!</v>
      </c>
    </row>
    <row r="1688" spans="57:58">
      <c r="BE1688" s="19">
        <f t="shared" si="73"/>
        <v>1.1694444444444676</v>
      </c>
      <c r="BF1688" t="e">
        <f t="shared" ca="1" si="72"/>
        <v>#VALUE!</v>
      </c>
    </row>
    <row r="1689" spans="57:58">
      <c r="BE1689" s="19">
        <f t="shared" si="73"/>
        <v>1.1701388888889122</v>
      </c>
      <c r="BF1689" t="e">
        <f t="shared" ca="1" si="72"/>
        <v>#VALUE!</v>
      </c>
    </row>
    <row r="1690" spans="57:58">
      <c r="BE1690" s="19">
        <f t="shared" si="73"/>
        <v>1.1708333333333567</v>
      </c>
      <c r="BF1690" t="e">
        <f t="shared" ca="1" si="72"/>
        <v>#VALUE!</v>
      </c>
    </row>
    <row r="1691" spans="57:58">
      <c r="BE1691" s="19">
        <f t="shared" si="73"/>
        <v>1.1715277777778013</v>
      </c>
      <c r="BF1691" t="e">
        <f t="shared" ca="1" si="72"/>
        <v>#VALUE!</v>
      </c>
    </row>
    <row r="1692" spans="57:58">
      <c r="BE1692" s="19">
        <f t="shared" si="73"/>
        <v>1.1722222222222458</v>
      </c>
      <c r="BF1692" t="e">
        <f t="shared" ca="1" si="72"/>
        <v>#VALUE!</v>
      </c>
    </row>
    <row r="1693" spans="57:58">
      <c r="BE1693" s="19">
        <f t="shared" si="73"/>
        <v>1.1729166666666904</v>
      </c>
      <c r="BF1693" t="e">
        <f t="shared" ca="1" si="72"/>
        <v>#VALUE!</v>
      </c>
    </row>
    <row r="1694" spans="57:58">
      <c r="BE1694" s="19">
        <f t="shared" si="73"/>
        <v>1.1736111111111349</v>
      </c>
      <c r="BF1694" t="e">
        <f t="shared" ca="1" si="72"/>
        <v>#VALUE!</v>
      </c>
    </row>
    <row r="1695" spans="57:58">
      <c r="BE1695" s="19">
        <f t="shared" si="73"/>
        <v>1.1743055555555795</v>
      </c>
      <c r="BF1695" t="e">
        <f t="shared" ca="1" si="72"/>
        <v>#VALUE!</v>
      </c>
    </row>
    <row r="1696" spans="57:58">
      <c r="BE1696" s="19">
        <f t="shared" si="73"/>
        <v>1.175000000000024</v>
      </c>
      <c r="BF1696" t="e">
        <f t="shared" ca="1" si="72"/>
        <v>#VALUE!</v>
      </c>
    </row>
    <row r="1697" spans="57:58">
      <c r="BE1697" s="19">
        <f t="shared" si="73"/>
        <v>1.1756944444444686</v>
      </c>
      <c r="BF1697" t="e">
        <f t="shared" ca="1" si="72"/>
        <v>#VALUE!</v>
      </c>
    </row>
    <row r="1698" spans="57:58">
      <c r="BE1698" s="19">
        <f t="shared" si="73"/>
        <v>1.1763888888889131</v>
      </c>
      <c r="BF1698" t="e">
        <f t="shared" ca="1" si="72"/>
        <v>#VALUE!</v>
      </c>
    </row>
    <row r="1699" spans="57:58">
      <c r="BE1699" s="19">
        <f t="shared" si="73"/>
        <v>1.1770833333333577</v>
      </c>
      <c r="BF1699" t="e">
        <f t="shared" ca="1" si="72"/>
        <v>#VALUE!</v>
      </c>
    </row>
    <row r="1700" spans="57:58">
      <c r="BE1700" s="19">
        <f t="shared" si="73"/>
        <v>1.1777777777778022</v>
      </c>
      <c r="BF1700" t="e">
        <f t="shared" ref="BF1700:BF1763" ca="1" si="74">IF(BE1700&lt;$B$5-1/1440,0,OFFSET($N$4,(BE1700-$B$4)*1440,0,1,1))</f>
        <v>#VALUE!</v>
      </c>
    </row>
    <row r="1701" spans="57:58">
      <c r="BE1701" s="19">
        <f t="shared" si="73"/>
        <v>1.1784722222222468</v>
      </c>
      <c r="BF1701" t="e">
        <f t="shared" ca="1" si="74"/>
        <v>#VALUE!</v>
      </c>
    </row>
    <row r="1702" spans="57:58">
      <c r="BE1702" s="19">
        <f t="shared" si="73"/>
        <v>1.1791666666666913</v>
      </c>
      <c r="BF1702" t="e">
        <f t="shared" ca="1" si="74"/>
        <v>#VALUE!</v>
      </c>
    </row>
    <row r="1703" spans="57:58">
      <c r="BE1703" s="19">
        <f t="shared" si="73"/>
        <v>1.1798611111111359</v>
      </c>
      <c r="BF1703" t="e">
        <f t="shared" ca="1" si="74"/>
        <v>#VALUE!</v>
      </c>
    </row>
    <row r="1704" spans="57:58">
      <c r="BE1704" s="19">
        <f t="shared" si="73"/>
        <v>1.1805555555555804</v>
      </c>
      <c r="BF1704" t="e">
        <f t="shared" ca="1" si="74"/>
        <v>#VALUE!</v>
      </c>
    </row>
    <row r="1705" spans="57:58">
      <c r="BE1705" s="19">
        <f t="shared" si="73"/>
        <v>1.181250000000025</v>
      </c>
      <c r="BF1705" t="e">
        <f t="shared" ca="1" si="74"/>
        <v>#VALUE!</v>
      </c>
    </row>
    <row r="1706" spans="57:58">
      <c r="BE1706" s="19">
        <f t="shared" si="73"/>
        <v>1.1819444444444696</v>
      </c>
      <c r="BF1706" t="e">
        <f t="shared" ca="1" si="74"/>
        <v>#VALUE!</v>
      </c>
    </row>
    <row r="1707" spans="57:58">
      <c r="BE1707" s="19">
        <f t="shared" si="73"/>
        <v>1.1826388888889141</v>
      </c>
      <c r="BF1707" t="e">
        <f t="shared" ca="1" si="74"/>
        <v>#VALUE!</v>
      </c>
    </row>
    <row r="1708" spans="57:58">
      <c r="BE1708" s="19">
        <f t="shared" si="73"/>
        <v>1.1833333333333587</v>
      </c>
      <c r="BF1708" t="e">
        <f t="shared" ca="1" si="74"/>
        <v>#VALUE!</v>
      </c>
    </row>
    <row r="1709" spans="57:58">
      <c r="BE1709" s="19">
        <f t="shared" si="73"/>
        <v>1.1840277777778032</v>
      </c>
      <c r="BF1709" t="e">
        <f t="shared" ca="1" si="74"/>
        <v>#VALUE!</v>
      </c>
    </row>
    <row r="1710" spans="57:58">
      <c r="BE1710" s="19">
        <f t="shared" si="73"/>
        <v>1.1847222222222478</v>
      </c>
      <c r="BF1710" t="e">
        <f t="shared" ca="1" si="74"/>
        <v>#VALUE!</v>
      </c>
    </row>
    <row r="1711" spans="57:58">
      <c r="BE1711" s="19">
        <f t="shared" si="73"/>
        <v>1.1854166666666923</v>
      </c>
      <c r="BF1711" t="e">
        <f t="shared" ca="1" si="74"/>
        <v>#VALUE!</v>
      </c>
    </row>
    <row r="1712" spans="57:58">
      <c r="BE1712" s="19">
        <f t="shared" si="73"/>
        <v>1.1861111111111369</v>
      </c>
      <c r="BF1712" t="e">
        <f t="shared" ca="1" si="74"/>
        <v>#VALUE!</v>
      </c>
    </row>
    <row r="1713" spans="57:58">
      <c r="BE1713" s="19">
        <f t="shared" si="73"/>
        <v>1.1868055555555814</v>
      </c>
      <c r="BF1713" t="e">
        <f t="shared" ca="1" si="74"/>
        <v>#VALUE!</v>
      </c>
    </row>
    <row r="1714" spans="57:58">
      <c r="BE1714" s="19">
        <f t="shared" si="73"/>
        <v>1.187500000000026</v>
      </c>
      <c r="BF1714" t="e">
        <f t="shared" ca="1" si="74"/>
        <v>#VALUE!</v>
      </c>
    </row>
    <row r="1715" spans="57:58">
      <c r="BE1715" s="19">
        <f t="shared" si="73"/>
        <v>1.1881944444444705</v>
      </c>
      <c r="BF1715" t="e">
        <f t="shared" ca="1" si="74"/>
        <v>#VALUE!</v>
      </c>
    </row>
    <row r="1716" spans="57:58">
      <c r="BE1716" s="19">
        <f t="shared" si="73"/>
        <v>1.1888888888889151</v>
      </c>
      <c r="BF1716" t="e">
        <f t="shared" ca="1" si="74"/>
        <v>#VALUE!</v>
      </c>
    </row>
    <row r="1717" spans="57:58">
      <c r="BE1717" s="19">
        <f t="shared" si="73"/>
        <v>1.1895833333333596</v>
      </c>
      <c r="BF1717" t="e">
        <f t="shared" ca="1" si="74"/>
        <v>#VALUE!</v>
      </c>
    </row>
    <row r="1718" spans="57:58">
      <c r="BE1718" s="19">
        <f t="shared" si="73"/>
        <v>1.1902777777778042</v>
      </c>
      <c r="BF1718" t="e">
        <f t="shared" ca="1" si="74"/>
        <v>#VALUE!</v>
      </c>
    </row>
    <row r="1719" spans="57:58">
      <c r="BE1719" s="19">
        <f t="shared" si="73"/>
        <v>1.1909722222222487</v>
      </c>
      <c r="BF1719" t="e">
        <f t="shared" ca="1" si="74"/>
        <v>#VALUE!</v>
      </c>
    </row>
    <row r="1720" spans="57:58">
      <c r="BE1720" s="19">
        <f t="shared" si="73"/>
        <v>1.1916666666666933</v>
      </c>
      <c r="BF1720" t="e">
        <f t="shared" ca="1" si="74"/>
        <v>#VALUE!</v>
      </c>
    </row>
    <row r="1721" spans="57:58">
      <c r="BE1721" s="19">
        <f t="shared" si="73"/>
        <v>1.1923611111111379</v>
      </c>
      <c r="BF1721" t="e">
        <f t="shared" ca="1" si="74"/>
        <v>#VALUE!</v>
      </c>
    </row>
    <row r="1722" spans="57:58">
      <c r="BE1722" s="19">
        <f t="shared" si="73"/>
        <v>1.1930555555555824</v>
      </c>
      <c r="BF1722" t="e">
        <f t="shared" ca="1" si="74"/>
        <v>#VALUE!</v>
      </c>
    </row>
    <row r="1723" spans="57:58">
      <c r="BE1723" s="19">
        <f t="shared" si="73"/>
        <v>1.193750000000027</v>
      </c>
      <c r="BF1723" t="e">
        <f t="shared" ca="1" si="74"/>
        <v>#VALUE!</v>
      </c>
    </row>
    <row r="1724" spans="57:58">
      <c r="BE1724" s="19">
        <f t="shared" si="73"/>
        <v>1.1944444444444715</v>
      </c>
      <c r="BF1724" t="e">
        <f t="shared" ca="1" si="74"/>
        <v>#VALUE!</v>
      </c>
    </row>
    <row r="1725" spans="57:58">
      <c r="BE1725" s="19">
        <f t="shared" si="73"/>
        <v>1.1951388888889161</v>
      </c>
      <c r="BF1725" t="e">
        <f t="shared" ca="1" si="74"/>
        <v>#VALUE!</v>
      </c>
    </row>
    <row r="1726" spans="57:58">
      <c r="BE1726" s="19">
        <f t="shared" si="73"/>
        <v>1.1958333333333606</v>
      </c>
      <c r="BF1726" t="e">
        <f t="shared" ca="1" si="74"/>
        <v>#VALUE!</v>
      </c>
    </row>
    <row r="1727" spans="57:58">
      <c r="BE1727" s="19">
        <f t="shared" si="73"/>
        <v>1.1965277777778052</v>
      </c>
      <c r="BF1727" t="e">
        <f t="shared" ca="1" si="74"/>
        <v>#VALUE!</v>
      </c>
    </row>
    <row r="1728" spans="57:58">
      <c r="BE1728" s="19">
        <f t="shared" si="73"/>
        <v>1.1972222222222497</v>
      </c>
      <c r="BF1728" t="e">
        <f t="shared" ca="1" si="74"/>
        <v>#VALUE!</v>
      </c>
    </row>
    <row r="1729" spans="57:58">
      <c r="BE1729" s="19">
        <f t="shared" si="73"/>
        <v>1.1979166666666943</v>
      </c>
      <c r="BF1729" t="e">
        <f t="shared" ca="1" si="74"/>
        <v>#VALUE!</v>
      </c>
    </row>
    <row r="1730" spans="57:58">
      <c r="BE1730" s="19">
        <f t="shared" si="73"/>
        <v>1.1986111111111388</v>
      </c>
      <c r="BF1730" t="e">
        <f t="shared" ca="1" si="74"/>
        <v>#VALUE!</v>
      </c>
    </row>
    <row r="1731" spans="57:58">
      <c r="BE1731" s="19">
        <f t="shared" si="73"/>
        <v>1.1993055555555834</v>
      </c>
      <c r="BF1731" t="e">
        <f t="shared" ca="1" si="74"/>
        <v>#VALUE!</v>
      </c>
    </row>
    <row r="1732" spans="57:58">
      <c r="BE1732" s="19">
        <f t="shared" si="73"/>
        <v>1.2000000000000279</v>
      </c>
      <c r="BF1732" t="e">
        <f t="shared" ca="1" si="74"/>
        <v>#VALUE!</v>
      </c>
    </row>
    <row r="1733" spans="57:58">
      <c r="BE1733" s="19">
        <f t="shared" si="73"/>
        <v>1.2006944444444725</v>
      </c>
      <c r="BF1733" t="e">
        <f t="shared" ca="1" si="74"/>
        <v>#VALUE!</v>
      </c>
    </row>
    <row r="1734" spans="57:58">
      <c r="BE1734" s="19">
        <f t="shared" ref="BE1734:BE1797" si="75">BE1733+1/1440</f>
        <v>1.201388888888917</v>
      </c>
      <c r="BF1734" t="e">
        <f t="shared" ca="1" si="74"/>
        <v>#VALUE!</v>
      </c>
    </row>
    <row r="1735" spans="57:58">
      <c r="BE1735" s="19">
        <f t="shared" si="75"/>
        <v>1.2020833333333616</v>
      </c>
      <c r="BF1735" t="e">
        <f t="shared" ca="1" si="74"/>
        <v>#VALUE!</v>
      </c>
    </row>
    <row r="1736" spans="57:58">
      <c r="BE1736" s="19">
        <f t="shared" si="75"/>
        <v>1.2027777777778061</v>
      </c>
      <c r="BF1736" t="e">
        <f t="shared" ca="1" si="74"/>
        <v>#VALUE!</v>
      </c>
    </row>
    <row r="1737" spans="57:58">
      <c r="BE1737" s="19">
        <f t="shared" si="75"/>
        <v>1.2034722222222507</v>
      </c>
      <c r="BF1737" t="e">
        <f t="shared" ca="1" si="74"/>
        <v>#VALUE!</v>
      </c>
    </row>
    <row r="1738" spans="57:58">
      <c r="BE1738" s="19">
        <f t="shared" si="75"/>
        <v>1.2041666666666953</v>
      </c>
      <c r="BF1738" t="e">
        <f t="shared" ca="1" si="74"/>
        <v>#VALUE!</v>
      </c>
    </row>
    <row r="1739" spans="57:58">
      <c r="BE1739" s="19">
        <f t="shared" si="75"/>
        <v>1.2048611111111398</v>
      </c>
      <c r="BF1739" t="e">
        <f t="shared" ca="1" si="74"/>
        <v>#VALUE!</v>
      </c>
    </row>
    <row r="1740" spans="57:58">
      <c r="BE1740" s="19">
        <f t="shared" si="75"/>
        <v>1.2055555555555844</v>
      </c>
      <c r="BF1740" t="e">
        <f t="shared" ca="1" si="74"/>
        <v>#VALUE!</v>
      </c>
    </row>
    <row r="1741" spans="57:58">
      <c r="BE1741" s="19">
        <f t="shared" si="75"/>
        <v>1.2062500000000289</v>
      </c>
      <c r="BF1741" t="e">
        <f t="shared" ca="1" si="74"/>
        <v>#VALUE!</v>
      </c>
    </row>
    <row r="1742" spans="57:58">
      <c r="BE1742" s="19">
        <f t="shared" si="75"/>
        <v>1.2069444444444735</v>
      </c>
      <c r="BF1742" t="e">
        <f t="shared" ca="1" si="74"/>
        <v>#VALUE!</v>
      </c>
    </row>
    <row r="1743" spans="57:58">
      <c r="BE1743" s="19">
        <f t="shared" si="75"/>
        <v>1.207638888888918</v>
      </c>
      <c r="BF1743" t="e">
        <f t="shared" ca="1" si="74"/>
        <v>#VALUE!</v>
      </c>
    </row>
    <row r="1744" spans="57:58">
      <c r="BE1744" s="19">
        <f t="shared" si="75"/>
        <v>1.2083333333333626</v>
      </c>
      <c r="BF1744" t="e">
        <f t="shared" ca="1" si="74"/>
        <v>#VALUE!</v>
      </c>
    </row>
    <row r="1745" spans="57:58">
      <c r="BE1745" s="19">
        <f t="shared" si="75"/>
        <v>1.2090277777778071</v>
      </c>
      <c r="BF1745" t="e">
        <f t="shared" ca="1" si="74"/>
        <v>#VALUE!</v>
      </c>
    </row>
    <row r="1746" spans="57:58">
      <c r="BE1746" s="19">
        <f t="shared" si="75"/>
        <v>1.2097222222222517</v>
      </c>
      <c r="BF1746" t="e">
        <f t="shared" ca="1" si="74"/>
        <v>#VALUE!</v>
      </c>
    </row>
    <row r="1747" spans="57:58">
      <c r="BE1747" s="19">
        <f t="shared" si="75"/>
        <v>1.2104166666666962</v>
      </c>
      <c r="BF1747" t="e">
        <f t="shared" ca="1" si="74"/>
        <v>#VALUE!</v>
      </c>
    </row>
    <row r="1748" spans="57:58">
      <c r="BE1748" s="19">
        <f t="shared" si="75"/>
        <v>1.2111111111111408</v>
      </c>
      <c r="BF1748" t="e">
        <f t="shared" ca="1" si="74"/>
        <v>#VALUE!</v>
      </c>
    </row>
    <row r="1749" spans="57:58">
      <c r="BE1749" s="19">
        <f t="shared" si="75"/>
        <v>1.2118055555555853</v>
      </c>
      <c r="BF1749" t="e">
        <f t="shared" ca="1" si="74"/>
        <v>#VALUE!</v>
      </c>
    </row>
    <row r="1750" spans="57:58">
      <c r="BE1750" s="19">
        <f t="shared" si="75"/>
        <v>1.2125000000000299</v>
      </c>
      <c r="BF1750" t="e">
        <f t="shared" ca="1" si="74"/>
        <v>#VALUE!</v>
      </c>
    </row>
    <row r="1751" spans="57:58">
      <c r="BE1751" s="19">
        <f t="shared" si="75"/>
        <v>1.2131944444444744</v>
      </c>
      <c r="BF1751" t="e">
        <f t="shared" ca="1" si="74"/>
        <v>#VALUE!</v>
      </c>
    </row>
    <row r="1752" spans="57:58">
      <c r="BE1752" s="19">
        <f t="shared" si="75"/>
        <v>1.213888888888919</v>
      </c>
      <c r="BF1752" t="e">
        <f t="shared" ca="1" si="74"/>
        <v>#VALUE!</v>
      </c>
    </row>
    <row r="1753" spans="57:58">
      <c r="BE1753" s="19">
        <f t="shared" si="75"/>
        <v>1.2145833333333635</v>
      </c>
      <c r="BF1753" t="e">
        <f t="shared" ca="1" si="74"/>
        <v>#VALUE!</v>
      </c>
    </row>
    <row r="1754" spans="57:58">
      <c r="BE1754" s="19">
        <f t="shared" si="75"/>
        <v>1.2152777777778081</v>
      </c>
      <c r="BF1754" t="e">
        <f t="shared" ca="1" si="74"/>
        <v>#VALUE!</v>
      </c>
    </row>
    <row r="1755" spans="57:58">
      <c r="BE1755" s="19">
        <f t="shared" si="75"/>
        <v>1.2159722222222527</v>
      </c>
      <c r="BF1755" t="e">
        <f t="shared" ca="1" si="74"/>
        <v>#VALUE!</v>
      </c>
    </row>
    <row r="1756" spans="57:58">
      <c r="BE1756" s="19">
        <f t="shared" si="75"/>
        <v>1.2166666666666972</v>
      </c>
      <c r="BF1756" t="e">
        <f t="shared" ca="1" si="74"/>
        <v>#VALUE!</v>
      </c>
    </row>
    <row r="1757" spans="57:58">
      <c r="BE1757" s="19">
        <f t="shared" si="75"/>
        <v>1.2173611111111418</v>
      </c>
      <c r="BF1757" t="e">
        <f t="shared" ca="1" si="74"/>
        <v>#VALUE!</v>
      </c>
    </row>
    <row r="1758" spans="57:58">
      <c r="BE1758" s="19">
        <f t="shared" si="75"/>
        <v>1.2180555555555863</v>
      </c>
      <c r="BF1758" t="e">
        <f t="shared" ca="1" si="74"/>
        <v>#VALUE!</v>
      </c>
    </row>
    <row r="1759" spans="57:58">
      <c r="BE1759" s="19">
        <f t="shared" si="75"/>
        <v>1.2187500000000309</v>
      </c>
      <c r="BF1759" t="e">
        <f t="shared" ca="1" si="74"/>
        <v>#VALUE!</v>
      </c>
    </row>
    <row r="1760" spans="57:58">
      <c r="BE1760" s="19">
        <f t="shared" si="75"/>
        <v>1.2194444444444754</v>
      </c>
      <c r="BF1760" t="e">
        <f t="shared" ca="1" si="74"/>
        <v>#VALUE!</v>
      </c>
    </row>
    <row r="1761" spans="57:58">
      <c r="BE1761" s="19">
        <f t="shared" si="75"/>
        <v>1.22013888888892</v>
      </c>
      <c r="BF1761" t="e">
        <f t="shared" ca="1" si="74"/>
        <v>#VALUE!</v>
      </c>
    </row>
    <row r="1762" spans="57:58">
      <c r="BE1762" s="19">
        <f t="shared" si="75"/>
        <v>1.2208333333333645</v>
      </c>
      <c r="BF1762" t="e">
        <f t="shared" ca="1" si="74"/>
        <v>#VALUE!</v>
      </c>
    </row>
    <row r="1763" spans="57:58">
      <c r="BE1763" s="19">
        <f t="shared" si="75"/>
        <v>1.2215277777778091</v>
      </c>
      <c r="BF1763" t="e">
        <f t="shared" ca="1" si="74"/>
        <v>#VALUE!</v>
      </c>
    </row>
    <row r="1764" spans="57:58">
      <c r="BE1764" s="19">
        <f t="shared" si="75"/>
        <v>1.2222222222222536</v>
      </c>
      <c r="BF1764" t="e">
        <f t="shared" ref="BF1764:BF1827" ca="1" si="76">IF(BE1764&lt;$B$5-1/1440,0,OFFSET($N$4,(BE1764-$B$4)*1440,0,1,1))</f>
        <v>#VALUE!</v>
      </c>
    </row>
    <row r="1765" spans="57:58">
      <c r="BE1765" s="19">
        <f t="shared" si="75"/>
        <v>1.2229166666666982</v>
      </c>
      <c r="BF1765" t="e">
        <f t="shared" ca="1" si="76"/>
        <v>#VALUE!</v>
      </c>
    </row>
    <row r="1766" spans="57:58">
      <c r="BE1766" s="19">
        <f t="shared" si="75"/>
        <v>1.2236111111111427</v>
      </c>
      <c r="BF1766" t="e">
        <f t="shared" ca="1" si="76"/>
        <v>#VALUE!</v>
      </c>
    </row>
    <row r="1767" spans="57:58">
      <c r="BE1767" s="19">
        <f t="shared" si="75"/>
        <v>1.2243055555555873</v>
      </c>
      <c r="BF1767" t="e">
        <f t="shared" ca="1" si="76"/>
        <v>#VALUE!</v>
      </c>
    </row>
    <row r="1768" spans="57:58">
      <c r="BE1768" s="19">
        <f t="shared" si="75"/>
        <v>1.2250000000000318</v>
      </c>
      <c r="BF1768" t="e">
        <f t="shared" ca="1" si="76"/>
        <v>#VALUE!</v>
      </c>
    </row>
    <row r="1769" spans="57:58">
      <c r="BE1769" s="19">
        <f t="shared" si="75"/>
        <v>1.2256944444444764</v>
      </c>
      <c r="BF1769" t="e">
        <f t="shared" ca="1" si="76"/>
        <v>#VALUE!</v>
      </c>
    </row>
    <row r="1770" spans="57:58">
      <c r="BE1770" s="19">
        <f t="shared" si="75"/>
        <v>1.2263888888889209</v>
      </c>
      <c r="BF1770" t="e">
        <f t="shared" ca="1" si="76"/>
        <v>#VALUE!</v>
      </c>
    </row>
    <row r="1771" spans="57:58">
      <c r="BE1771" s="19">
        <f t="shared" si="75"/>
        <v>1.2270833333333655</v>
      </c>
      <c r="BF1771" t="e">
        <f t="shared" ca="1" si="76"/>
        <v>#VALUE!</v>
      </c>
    </row>
    <row r="1772" spans="57:58">
      <c r="BE1772" s="19">
        <f t="shared" si="75"/>
        <v>1.2277777777778101</v>
      </c>
      <c r="BF1772" t="e">
        <f t="shared" ca="1" si="76"/>
        <v>#VALUE!</v>
      </c>
    </row>
    <row r="1773" spans="57:58">
      <c r="BE1773" s="19">
        <f t="shared" si="75"/>
        <v>1.2284722222222546</v>
      </c>
      <c r="BF1773" t="e">
        <f t="shared" ca="1" si="76"/>
        <v>#VALUE!</v>
      </c>
    </row>
    <row r="1774" spans="57:58">
      <c r="BE1774" s="19">
        <f t="shared" si="75"/>
        <v>1.2291666666666992</v>
      </c>
      <c r="BF1774" t="e">
        <f t="shared" ca="1" si="76"/>
        <v>#VALUE!</v>
      </c>
    </row>
    <row r="1775" spans="57:58">
      <c r="BE1775" s="19">
        <f t="shared" si="75"/>
        <v>1.2298611111111437</v>
      </c>
      <c r="BF1775" t="e">
        <f t="shared" ca="1" si="76"/>
        <v>#VALUE!</v>
      </c>
    </row>
    <row r="1776" spans="57:58">
      <c r="BE1776" s="19">
        <f t="shared" si="75"/>
        <v>1.2305555555555883</v>
      </c>
      <c r="BF1776" t="e">
        <f t="shared" ca="1" si="76"/>
        <v>#VALUE!</v>
      </c>
    </row>
    <row r="1777" spans="57:58">
      <c r="BE1777" s="19">
        <f t="shared" si="75"/>
        <v>1.2312500000000328</v>
      </c>
      <c r="BF1777" t="e">
        <f t="shared" ca="1" si="76"/>
        <v>#VALUE!</v>
      </c>
    </row>
    <row r="1778" spans="57:58">
      <c r="BE1778" s="19">
        <f t="shared" si="75"/>
        <v>1.2319444444444774</v>
      </c>
      <c r="BF1778" t="e">
        <f t="shared" ca="1" si="76"/>
        <v>#VALUE!</v>
      </c>
    </row>
    <row r="1779" spans="57:58">
      <c r="BE1779" s="19">
        <f t="shared" si="75"/>
        <v>1.2326388888889219</v>
      </c>
      <c r="BF1779" t="e">
        <f t="shared" ca="1" si="76"/>
        <v>#VALUE!</v>
      </c>
    </row>
    <row r="1780" spans="57:58">
      <c r="BE1780" s="19">
        <f t="shared" si="75"/>
        <v>1.2333333333333665</v>
      </c>
      <c r="BF1780" t="e">
        <f t="shared" ca="1" si="76"/>
        <v>#VALUE!</v>
      </c>
    </row>
    <row r="1781" spans="57:58">
      <c r="BE1781" s="19">
        <f t="shared" si="75"/>
        <v>1.234027777777811</v>
      </c>
      <c r="BF1781" t="e">
        <f t="shared" ca="1" si="76"/>
        <v>#VALUE!</v>
      </c>
    </row>
    <row r="1782" spans="57:58">
      <c r="BE1782" s="19">
        <f t="shared" si="75"/>
        <v>1.2347222222222556</v>
      </c>
      <c r="BF1782" t="e">
        <f t="shared" ca="1" si="76"/>
        <v>#VALUE!</v>
      </c>
    </row>
    <row r="1783" spans="57:58">
      <c r="BE1783" s="19">
        <f t="shared" si="75"/>
        <v>1.2354166666667001</v>
      </c>
      <c r="BF1783" t="e">
        <f t="shared" ca="1" si="76"/>
        <v>#VALUE!</v>
      </c>
    </row>
    <row r="1784" spans="57:58">
      <c r="BE1784" s="19">
        <f t="shared" si="75"/>
        <v>1.2361111111111447</v>
      </c>
      <c r="BF1784" t="e">
        <f t="shared" ca="1" si="76"/>
        <v>#VALUE!</v>
      </c>
    </row>
    <row r="1785" spans="57:58">
      <c r="BE1785" s="19">
        <f t="shared" si="75"/>
        <v>1.2368055555555892</v>
      </c>
      <c r="BF1785" t="e">
        <f t="shared" ca="1" si="76"/>
        <v>#VALUE!</v>
      </c>
    </row>
    <row r="1786" spans="57:58">
      <c r="BE1786" s="19">
        <f t="shared" si="75"/>
        <v>1.2375000000000338</v>
      </c>
      <c r="BF1786" t="e">
        <f t="shared" ca="1" si="76"/>
        <v>#VALUE!</v>
      </c>
    </row>
    <row r="1787" spans="57:58">
      <c r="BE1787" s="19">
        <f t="shared" si="75"/>
        <v>1.2381944444444783</v>
      </c>
      <c r="BF1787" t="e">
        <f t="shared" ca="1" si="76"/>
        <v>#VALUE!</v>
      </c>
    </row>
    <row r="1788" spans="57:58">
      <c r="BE1788" s="19">
        <f t="shared" si="75"/>
        <v>1.2388888888889229</v>
      </c>
      <c r="BF1788" t="e">
        <f t="shared" ca="1" si="76"/>
        <v>#VALUE!</v>
      </c>
    </row>
    <row r="1789" spans="57:58">
      <c r="BE1789" s="19">
        <f t="shared" si="75"/>
        <v>1.2395833333333675</v>
      </c>
      <c r="BF1789" t="e">
        <f t="shared" ca="1" si="76"/>
        <v>#VALUE!</v>
      </c>
    </row>
    <row r="1790" spans="57:58">
      <c r="BE1790" s="19">
        <f t="shared" si="75"/>
        <v>1.240277777777812</v>
      </c>
      <c r="BF1790" t="e">
        <f t="shared" ca="1" si="76"/>
        <v>#VALUE!</v>
      </c>
    </row>
    <row r="1791" spans="57:58">
      <c r="BE1791" s="19">
        <f t="shared" si="75"/>
        <v>1.2409722222222566</v>
      </c>
      <c r="BF1791" t="e">
        <f t="shared" ca="1" si="76"/>
        <v>#VALUE!</v>
      </c>
    </row>
    <row r="1792" spans="57:58">
      <c r="BE1792" s="19">
        <f t="shared" si="75"/>
        <v>1.2416666666667011</v>
      </c>
      <c r="BF1792" t="e">
        <f t="shared" ca="1" si="76"/>
        <v>#VALUE!</v>
      </c>
    </row>
    <row r="1793" spans="57:58">
      <c r="BE1793" s="19">
        <f t="shared" si="75"/>
        <v>1.2423611111111457</v>
      </c>
      <c r="BF1793" t="e">
        <f t="shared" ca="1" si="76"/>
        <v>#VALUE!</v>
      </c>
    </row>
    <row r="1794" spans="57:58">
      <c r="BE1794" s="19">
        <f t="shared" si="75"/>
        <v>1.2430555555555902</v>
      </c>
      <c r="BF1794" t="e">
        <f t="shared" ca="1" si="76"/>
        <v>#VALUE!</v>
      </c>
    </row>
    <row r="1795" spans="57:58">
      <c r="BE1795" s="19">
        <f t="shared" si="75"/>
        <v>1.2437500000000348</v>
      </c>
      <c r="BF1795" t="e">
        <f t="shared" ca="1" si="76"/>
        <v>#VALUE!</v>
      </c>
    </row>
    <row r="1796" spans="57:58">
      <c r="BE1796" s="19">
        <f t="shared" si="75"/>
        <v>1.2444444444444793</v>
      </c>
      <c r="BF1796" t="e">
        <f t="shared" ca="1" si="76"/>
        <v>#VALUE!</v>
      </c>
    </row>
    <row r="1797" spans="57:58">
      <c r="BE1797" s="19">
        <f t="shared" si="75"/>
        <v>1.2451388888889239</v>
      </c>
      <c r="BF1797" t="e">
        <f t="shared" ca="1" si="76"/>
        <v>#VALUE!</v>
      </c>
    </row>
    <row r="1798" spans="57:58">
      <c r="BE1798" s="19">
        <f t="shared" ref="BE1798:BE1861" si="77">BE1797+1/1440</f>
        <v>1.2458333333333684</v>
      </c>
      <c r="BF1798" t="e">
        <f t="shared" ca="1" si="76"/>
        <v>#VALUE!</v>
      </c>
    </row>
    <row r="1799" spans="57:58">
      <c r="BE1799" s="19">
        <f t="shared" si="77"/>
        <v>1.246527777777813</v>
      </c>
      <c r="BF1799" t="e">
        <f t="shared" ca="1" si="76"/>
        <v>#VALUE!</v>
      </c>
    </row>
    <row r="1800" spans="57:58">
      <c r="BE1800" s="19">
        <f t="shared" si="77"/>
        <v>1.2472222222222575</v>
      </c>
      <c r="BF1800" t="e">
        <f t="shared" ca="1" si="76"/>
        <v>#VALUE!</v>
      </c>
    </row>
    <row r="1801" spans="57:58">
      <c r="BE1801" s="19">
        <f t="shared" si="77"/>
        <v>1.2479166666667021</v>
      </c>
      <c r="BF1801" t="e">
        <f t="shared" ca="1" si="76"/>
        <v>#VALUE!</v>
      </c>
    </row>
    <row r="1802" spans="57:58">
      <c r="BE1802" s="19">
        <f t="shared" si="77"/>
        <v>1.2486111111111466</v>
      </c>
      <c r="BF1802" t="e">
        <f t="shared" ca="1" si="76"/>
        <v>#VALUE!</v>
      </c>
    </row>
    <row r="1803" spans="57:58">
      <c r="BE1803" s="19">
        <f t="shared" si="77"/>
        <v>1.2493055555555912</v>
      </c>
      <c r="BF1803" t="e">
        <f t="shared" ca="1" si="76"/>
        <v>#VALUE!</v>
      </c>
    </row>
    <row r="1804" spans="57:58">
      <c r="BE1804" s="19">
        <f t="shared" si="77"/>
        <v>1.2500000000000357</v>
      </c>
      <c r="BF1804" t="e">
        <f t="shared" ca="1" si="76"/>
        <v>#VALUE!</v>
      </c>
    </row>
    <row r="1805" spans="57:58">
      <c r="BE1805" s="19">
        <f t="shared" si="77"/>
        <v>1.2506944444444803</v>
      </c>
      <c r="BF1805" t="e">
        <f t="shared" ca="1" si="76"/>
        <v>#VALUE!</v>
      </c>
    </row>
    <row r="1806" spans="57:58">
      <c r="BE1806" s="19">
        <f t="shared" si="77"/>
        <v>1.2513888888889249</v>
      </c>
      <c r="BF1806" t="e">
        <f t="shared" ca="1" si="76"/>
        <v>#VALUE!</v>
      </c>
    </row>
    <row r="1807" spans="57:58">
      <c r="BE1807" s="19">
        <f t="shared" si="77"/>
        <v>1.2520833333333694</v>
      </c>
      <c r="BF1807" t="e">
        <f t="shared" ca="1" si="76"/>
        <v>#VALUE!</v>
      </c>
    </row>
    <row r="1808" spans="57:58">
      <c r="BE1808" s="19">
        <f t="shared" si="77"/>
        <v>1.252777777777814</v>
      </c>
      <c r="BF1808" t="e">
        <f t="shared" ca="1" si="76"/>
        <v>#VALUE!</v>
      </c>
    </row>
    <row r="1809" spans="57:58">
      <c r="BE1809" s="19">
        <f t="shared" si="77"/>
        <v>1.2534722222222585</v>
      </c>
      <c r="BF1809" t="e">
        <f t="shared" ca="1" si="76"/>
        <v>#VALUE!</v>
      </c>
    </row>
    <row r="1810" spans="57:58">
      <c r="BE1810" s="19">
        <f t="shared" si="77"/>
        <v>1.2541666666667031</v>
      </c>
      <c r="BF1810" t="e">
        <f t="shared" ca="1" si="76"/>
        <v>#VALUE!</v>
      </c>
    </row>
    <row r="1811" spans="57:58">
      <c r="BE1811" s="19">
        <f t="shared" si="77"/>
        <v>1.2548611111111476</v>
      </c>
      <c r="BF1811" t="e">
        <f t="shared" ca="1" si="76"/>
        <v>#VALUE!</v>
      </c>
    </row>
    <row r="1812" spans="57:58">
      <c r="BE1812" s="19">
        <f t="shared" si="77"/>
        <v>1.2555555555555922</v>
      </c>
      <c r="BF1812" t="e">
        <f t="shared" ca="1" si="76"/>
        <v>#VALUE!</v>
      </c>
    </row>
    <row r="1813" spans="57:58">
      <c r="BE1813" s="19">
        <f t="shared" si="77"/>
        <v>1.2562500000000367</v>
      </c>
      <c r="BF1813" t="e">
        <f t="shared" ca="1" si="76"/>
        <v>#VALUE!</v>
      </c>
    </row>
    <row r="1814" spans="57:58">
      <c r="BE1814" s="19">
        <f t="shared" si="77"/>
        <v>1.2569444444444813</v>
      </c>
      <c r="BF1814" t="e">
        <f t="shared" ca="1" si="76"/>
        <v>#VALUE!</v>
      </c>
    </row>
    <row r="1815" spans="57:58">
      <c r="BE1815" s="19">
        <f t="shared" si="77"/>
        <v>1.2576388888889258</v>
      </c>
      <c r="BF1815" t="e">
        <f t="shared" ca="1" si="76"/>
        <v>#VALUE!</v>
      </c>
    </row>
    <row r="1816" spans="57:58">
      <c r="BE1816" s="19">
        <f t="shared" si="77"/>
        <v>1.2583333333333704</v>
      </c>
      <c r="BF1816" t="e">
        <f t="shared" ca="1" si="76"/>
        <v>#VALUE!</v>
      </c>
    </row>
    <row r="1817" spans="57:58">
      <c r="BE1817" s="19">
        <f t="shared" si="77"/>
        <v>1.2590277777778149</v>
      </c>
      <c r="BF1817" t="e">
        <f t="shared" ca="1" si="76"/>
        <v>#VALUE!</v>
      </c>
    </row>
    <row r="1818" spans="57:58">
      <c r="BE1818" s="19">
        <f t="shared" si="77"/>
        <v>1.2597222222222595</v>
      </c>
      <c r="BF1818" t="e">
        <f t="shared" ca="1" si="76"/>
        <v>#VALUE!</v>
      </c>
    </row>
    <row r="1819" spans="57:58">
      <c r="BE1819" s="19">
        <f t="shared" si="77"/>
        <v>1.260416666666704</v>
      </c>
      <c r="BF1819" t="e">
        <f t="shared" ca="1" si="76"/>
        <v>#VALUE!</v>
      </c>
    </row>
    <row r="1820" spans="57:58">
      <c r="BE1820" s="19">
        <f t="shared" si="77"/>
        <v>1.2611111111111486</v>
      </c>
      <c r="BF1820" t="e">
        <f t="shared" ca="1" si="76"/>
        <v>#VALUE!</v>
      </c>
    </row>
    <row r="1821" spans="57:58">
      <c r="BE1821" s="19">
        <f t="shared" si="77"/>
        <v>1.2618055555555932</v>
      </c>
      <c r="BF1821" t="e">
        <f t="shared" ca="1" si="76"/>
        <v>#VALUE!</v>
      </c>
    </row>
    <row r="1822" spans="57:58">
      <c r="BE1822" s="19">
        <f t="shared" si="77"/>
        <v>1.2625000000000377</v>
      </c>
      <c r="BF1822" t="e">
        <f t="shared" ca="1" si="76"/>
        <v>#VALUE!</v>
      </c>
    </row>
    <row r="1823" spans="57:58">
      <c r="BE1823" s="19">
        <f t="shared" si="77"/>
        <v>1.2631944444444823</v>
      </c>
      <c r="BF1823" t="e">
        <f t="shared" ca="1" si="76"/>
        <v>#VALUE!</v>
      </c>
    </row>
    <row r="1824" spans="57:58">
      <c r="BE1824" s="19">
        <f t="shared" si="77"/>
        <v>1.2638888888889268</v>
      </c>
      <c r="BF1824" t="e">
        <f t="shared" ca="1" si="76"/>
        <v>#VALUE!</v>
      </c>
    </row>
    <row r="1825" spans="57:58">
      <c r="BE1825" s="19">
        <f t="shared" si="77"/>
        <v>1.2645833333333714</v>
      </c>
      <c r="BF1825" t="e">
        <f t="shared" ca="1" si="76"/>
        <v>#VALUE!</v>
      </c>
    </row>
    <row r="1826" spans="57:58">
      <c r="BE1826" s="19">
        <f t="shared" si="77"/>
        <v>1.2652777777778159</v>
      </c>
      <c r="BF1826" t="e">
        <f t="shared" ca="1" si="76"/>
        <v>#VALUE!</v>
      </c>
    </row>
    <row r="1827" spans="57:58">
      <c r="BE1827" s="19">
        <f t="shared" si="77"/>
        <v>1.2659722222222605</v>
      </c>
      <c r="BF1827" t="e">
        <f t="shared" ca="1" si="76"/>
        <v>#VALUE!</v>
      </c>
    </row>
    <row r="1828" spans="57:58">
      <c r="BE1828" s="19">
        <f t="shared" si="77"/>
        <v>1.266666666666705</v>
      </c>
      <c r="BF1828" t="e">
        <f t="shared" ref="BF1828:BF1891" ca="1" si="78">IF(BE1828&lt;$B$5-1/1440,0,OFFSET($N$4,(BE1828-$B$4)*1440,0,1,1))</f>
        <v>#VALUE!</v>
      </c>
    </row>
    <row r="1829" spans="57:58">
      <c r="BE1829" s="19">
        <f t="shared" si="77"/>
        <v>1.2673611111111496</v>
      </c>
      <c r="BF1829" t="e">
        <f t="shared" ca="1" si="78"/>
        <v>#VALUE!</v>
      </c>
    </row>
    <row r="1830" spans="57:58">
      <c r="BE1830" s="19">
        <f t="shared" si="77"/>
        <v>1.2680555555555941</v>
      </c>
      <c r="BF1830" t="e">
        <f t="shared" ca="1" si="78"/>
        <v>#VALUE!</v>
      </c>
    </row>
    <row r="1831" spans="57:58">
      <c r="BE1831" s="19">
        <f t="shared" si="77"/>
        <v>1.2687500000000387</v>
      </c>
      <c r="BF1831" t="e">
        <f t="shared" ca="1" si="78"/>
        <v>#VALUE!</v>
      </c>
    </row>
    <row r="1832" spans="57:58">
      <c r="BE1832" s="19">
        <f t="shared" si="77"/>
        <v>1.2694444444444832</v>
      </c>
      <c r="BF1832" t="e">
        <f t="shared" ca="1" si="78"/>
        <v>#VALUE!</v>
      </c>
    </row>
    <row r="1833" spans="57:58">
      <c r="BE1833" s="19">
        <f t="shared" si="77"/>
        <v>1.2701388888889278</v>
      </c>
      <c r="BF1833" t="e">
        <f t="shared" ca="1" si="78"/>
        <v>#VALUE!</v>
      </c>
    </row>
    <row r="1834" spans="57:58">
      <c r="BE1834" s="19">
        <f t="shared" si="77"/>
        <v>1.2708333333333723</v>
      </c>
      <c r="BF1834" t="e">
        <f t="shared" ca="1" si="78"/>
        <v>#VALUE!</v>
      </c>
    </row>
    <row r="1835" spans="57:58">
      <c r="BE1835" s="19">
        <f t="shared" si="77"/>
        <v>1.2715277777778169</v>
      </c>
      <c r="BF1835" t="e">
        <f t="shared" ca="1" si="78"/>
        <v>#VALUE!</v>
      </c>
    </row>
    <row r="1836" spans="57:58">
      <c r="BE1836" s="19">
        <f t="shared" si="77"/>
        <v>1.2722222222222614</v>
      </c>
      <c r="BF1836" t="e">
        <f t="shared" ca="1" si="78"/>
        <v>#VALUE!</v>
      </c>
    </row>
    <row r="1837" spans="57:58">
      <c r="BE1837" s="19">
        <f t="shared" si="77"/>
        <v>1.272916666666706</v>
      </c>
      <c r="BF1837" t="e">
        <f t="shared" ca="1" si="78"/>
        <v>#VALUE!</v>
      </c>
    </row>
    <row r="1838" spans="57:58">
      <c r="BE1838" s="19">
        <f t="shared" si="77"/>
        <v>1.2736111111111506</v>
      </c>
      <c r="BF1838" t="e">
        <f t="shared" ca="1" si="78"/>
        <v>#VALUE!</v>
      </c>
    </row>
    <row r="1839" spans="57:58">
      <c r="BE1839" s="19">
        <f t="shared" si="77"/>
        <v>1.2743055555555951</v>
      </c>
      <c r="BF1839" t="e">
        <f t="shared" ca="1" si="78"/>
        <v>#VALUE!</v>
      </c>
    </row>
    <row r="1840" spans="57:58">
      <c r="BE1840" s="19">
        <f t="shared" si="77"/>
        <v>1.2750000000000397</v>
      </c>
      <c r="BF1840" t="e">
        <f t="shared" ca="1" si="78"/>
        <v>#VALUE!</v>
      </c>
    </row>
    <row r="1841" spans="57:58">
      <c r="BE1841" s="19">
        <f t="shared" si="77"/>
        <v>1.2756944444444842</v>
      </c>
      <c r="BF1841" t="e">
        <f t="shared" ca="1" si="78"/>
        <v>#VALUE!</v>
      </c>
    </row>
    <row r="1842" spans="57:58">
      <c r="BE1842" s="19">
        <f t="shared" si="77"/>
        <v>1.2763888888889288</v>
      </c>
      <c r="BF1842" t="e">
        <f t="shared" ca="1" si="78"/>
        <v>#VALUE!</v>
      </c>
    </row>
    <row r="1843" spans="57:58">
      <c r="BE1843" s="19">
        <f t="shared" si="77"/>
        <v>1.2770833333333733</v>
      </c>
      <c r="BF1843" t="e">
        <f t="shared" ca="1" si="78"/>
        <v>#VALUE!</v>
      </c>
    </row>
    <row r="1844" spans="57:58">
      <c r="BE1844" s="19">
        <f t="shared" si="77"/>
        <v>1.2777777777778179</v>
      </c>
      <c r="BF1844" t="e">
        <f t="shared" ca="1" si="78"/>
        <v>#VALUE!</v>
      </c>
    </row>
    <row r="1845" spans="57:58">
      <c r="BE1845" s="19">
        <f t="shared" si="77"/>
        <v>1.2784722222222624</v>
      </c>
      <c r="BF1845" t="e">
        <f t="shared" ca="1" si="78"/>
        <v>#VALUE!</v>
      </c>
    </row>
    <row r="1846" spans="57:58">
      <c r="BE1846" s="19">
        <f t="shared" si="77"/>
        <v>1.279166666666707</v>
      </c>
      <c r="BF1846" t="e">
        <f t="shared" ca="1" si="78"/>
        <v>#VALUE!</v>
      </c>
    </row>
    <row r="1847" spans="57:58">
      <c r="BE1847" s="19">
        <f t="shared" si="77"/>
        <v>1.2798611111111515</v>
      </c>
      <c r="BF1847" t="e">
        <f t="shared" ca="1" si="78"/>
        <v>#VALUE!</v>
      </c>
    </row>
    <row r="1848" spans="57:58">
      <c r="BE1848" s="19">
        <f t="shared" si="77"/>
        <v>1.2805555555555961</v>
      </c>
      <c r="BF1848" t="e">
        <f t="shared" ca="1" si="78"/>
        <v>#VALUE!</v>
      </c>
    </row>
    <row r="1849" spans="57:58">
      <c r="BE1849" s="19">
        <f t="shared" si="77"/>
        <v>1.2812500000000406</v>
      </c>
      <c r="BF1849" t="e">
        <f t="shared" ca="1" si="78"/>
        <v>#VALUE!</v>
      </c>
    </row>
    <row r="1850" spans="57:58">
      <c r="BE1850" s="19">
        <f t="shared" si="77"/>
        <v>1.2819444444444852</v>
      </c>
      <c r="BF1850" t="e">
        <f t="shared" ca="1" si="78"/>
        <v>#VALUE!</v>
      </c>
    </row>
    <row r="1851" spans="57:58">
      <c r="BE1851" s="19">
        <f t="shared" si="77"/>
        <v>1.2826388888889297</v>
      </c>
      <c r="BF1851" t="e">
        <f t="shared" ca="1" si="78"/>
        <v>#VALUE!</v>
      </c>
    </row>
    <row r="1852" spans="57:58">
      <c r="BE1852" s="19">
        <f t="shared" si="77"/>
        <v>1.2833333333333743</v>
      </c>
      <c r="BF1852" t="e">
        <f t="shared" ca="1" si="78"/>
        <v>#VALUE!</v>
      </c>
    </row>
    <row r="1853" spans="57:58">
      <c r="BE1853" s="19">
        <f t="shared" si="77"/>
        <v>1.2840277777778188</v>
      </c>
      <c r="BF1853" t="e">
        <f t="shared" ca="1" si="78"/>
        <v>#VALUE!</v>
      </c>
    </row>
    <row r="1854" spans="57:58">
      <c r="BE1854" s="19">
        <f t="shared" si="77"/>
        <v>1.2847222222222634</v>
      </c>
      <c r="BF1854" t="e">
        <f t="shared" ca="1" si="78"/>
        <v>#VALUE!</v>
      </c>
    </row>
    <row r="1855" spans="57:58">
      <c r="BE1855" s="19">
        <f t="shared" si="77"/>
        <v>1.285416666666708</v>
      </c>
      <c r="BF1855" t="e">
        <f t="shared" ca="1" si="78"/>
        <v>#VALUE!</v>
      </c>
    </row>
    <row r="1856" spans="57:58">
      <c r="BE1856" s="19">
        <f t="shared" si="77"/>
        <v>1.2861111111111525</v>
      </c>
      <c r="BF1856" t="e">
        <f t="shared" ca="1" si="78"/>
        <v>#VALUE!</v>
      </c>
    </row>
    <row r="1857" spans="57:58">
      <c r="BE1857" s="19">
        <f t="shared" si="77"/>
        <v>1.2868055555555971</v>
      </c>
      <c r="BF1857" t="e">
        <f t="shared" ca="1" si="78"/>
        <v>#VALUE!</v>
      </c>
    </row>
    <row r="1858" spans="57:58">
      <c r="BE1858" s="19">
        <f t="shared" si="77"/>
        <v>1.2875000000000416</v>
      </c>
      <c r="BF1858" t="e">
        <f t="shared" ca="1" si="78"/>
        <v>#VALUE!</v>
      </c>
    </row>
    <row r="1859" spans="57:58">
      <c r="BE1859" s="19">
        <f t="shared" si="77"/>
        <v>1.2881944444444862</v>
      </c>
      <c r="BF1859" t="e">
        <f t="shared" ca="1" si="78"/>
        <v>#VALUE!</v>
      </c>
    </row>
    <row r="1860" spans="57:58">
      <c r="BE1860" s="19">
        <f t="shared" si="77"/>
        <v>1.2888888888889307</v>
      </c>
      <c r="BF1860" t="e">
        <f t="shared" ca="1" si="78"/>
        <v>#VALUE!</v>
      </c>
    </row>
    <row r="1861" spans="57:58">
      <c r="BE1861" s="19">
        <f t="shared" si="77"/>
        <v>1.2895833333333753</v>
      </c>
      <c r="BF1861" t="e">
        <f t="shared" ca="1" si="78"/>
        <v>#VALUE!</v>
      </c>
    </row>
    <row r="1862" spans="57:58">
      <c r="BE1862" s="19">
        <f t="shared" ref="BE1862:BE1925" si="79">BE1861+1/1440</f>
        <v>1.2902777777778198</v>
      </c>
      <c r="BF1862" t="e">
        <f t="shared" ca="1" si="78"/>
        <v>#VALUE!</v>
      </c>
    </row>
    <row r="1863" spans="57:58">
      <c r="BE1863" s="19">
        <f t="shared" si="79"/>
        <v>1.2909722222222644</v>
      </c>
      <c r="BF1863" t="e">
        <f t="shared" ca="1" si="78"/>
        <v>#VALUE!</v>
      </c>
    </row>
    <row r="1864" spans="57:58">
      <c r="BE1864" s="19">
        <f t="shared" si="79"/>
        <v>1.2916666666667089</v>
      </c>
      <c r="BF1864" t="e">
        <f t="shared" ca="1" si="78"/>
        <v>#VALUE!</v>
      </c>
    </row>
    <row r="1865" spans="57:58">
      <c r="BE1865" s="19">
        <f t="shared" si="79"/>
        <v>1.2923611111111535</v>
      </c>
      <c r="BF1865" t="e">
        <f t="shared" ca="1" si="78"/>
        <v>#VALUE!</v>
      </c>
    </row>
    <row r="1866" spans="57:58">
      <c r="BE1866" s="19">
        <f t="shared" si="79"/>
        <v>1.293055555555598</v>
      </c>
      <c r="BF1866" t="e">
        <f t="shared" ca="1" si="78"/>
        <v>#VALUE!</v>
      </c>
    </row>
    <row r="1867" spans="57:58">
      <c r="BE1867" s="19">
        <f t="shared" si="79"/>
        <v>1.2937500000000426</v>
      </c>
      <c r="BF1867" t="e">
        <f t="shared" ca="1" si="78"/>
        <v>#VALUE!</v>
      </c>
    </row>
    <row r="1868" spans="57:58">
      <c r="BE1868" s="19">
        <f t="shared" si="79"/>
        <v>1.2944444444444871</v>
      </c>
      <c r="BF1868" t="e">
        <f t="shared" ca="1" si="78"/>
        <v>#VALUE!</v>
      </c>
    </row>
    <row r="1869" spans="57:58">
      <c r="BE1869" s="19">
        <f t="shared" si="79"/>
        <v>1.2951388888889317</v>
      </c>
      <c r="BF1869" t="e">
        <f t="shared" ca="1" si="78"/>
        <v>#VALUE!</v>
      </c>
    </row>
    <row r="1870" spans="57:58">
      <c r="BE1870" s="19">
        <f t="shared" si="79"/>
        <v>1.2958333333333762</v>
      </c>
      <c r="BF1870" t="e">
        <f t="shared" ca="1" si="78"/>
        <v>#VALUE!</v>
      </c>
    </row>
    <row r="1871" spans="57:58">
      <c r="BE1871" s="19">
        <f t="shared" si="79"/>
        <v>1.2965277777778208</v>
      </c>
      <c r="BF1871" t="e">
        <f t="shared" ca="1" si="78"/>
        <v>#VALUE!</v>
      </c>
    </row>
    <row r="1872" spans="57:58">
      <c r="BE1872" s="19">
        <f t="shared" si="79"/>
        <v>1.2972222222222654</v>
      </c>
      <c r="BF1872" t="e">
        <f t="shared" ca="1" si="78"/>
        <v>#VALUE!</v>
      </c>
    </row>
    <row r="1873" spans="57:58">
      <c r="BE1873" s="19">
        <f t="shared" si="79"/>
        <v>1.2979166666667099</v>
      </c>
      <c r="BF1873" t="e">
        <f t="shared" ca="1" si="78"/>
        <v>#VALUE!</v>
      </c>
    </row>
    <row r="1874" spans="57:58">
      <c r="BE1874" s="19">
        <f t="shared" si="79"/>
        <v>1.2986111111111545</v>
      </c>
      <c r="BF1874" t="e">
        <f t="shared" ca="1" si="78"/>
        <v>#VALUE!</v>
      </c>
    </row>
    <row r="1875" spans="57:58">
      <c r="BE1875" s="19">
        <f t="shared" si="79"/>
        <v>1.299305555555599</v>
      </c>
      <c r="BF1875" t="e">
        <f t="shared" ca="1" si="78"/>
        <v>#VALUE!</v>
      </c>
    </row>
    <row r="1876" spans="57:58">
      <c r="BE1876" s="19">
        <f t="shared" si="79"/>
        <v>1.3000000000000436</v>
      </c>
      <c r="BF1876" t="e">
        <f t="shared" ca="1" si="78"/>
        <v>#VALUE!</v>
      </c>
    </row>
    <row r="1877" spans="57:58">
      <c r="BE1877" s="19">
        <f t="shared" si="79"/>
        <v>1.3006944444444881</v>
      </c>
      <c r="BF1877" t="e">
        <f t="shared" ca="1" si="78"/>
        <v>#VALUE!</v>
      </c>
    </row>
    <row r="1878" spans="57:58">
      <c r="BE1878" s="19">
        <f t="shared" si="79"/>
        <v>1.3013888888889327</v>
      </c>
      <c r="BF1878" t="e">
        <f t="shared" ca="1" si="78"/>
        <v>#VALUE!</v>
      </c>
    </row>
    <row r="1879" spans="57:58">
      <c r="BE1879" s="19">
        <f t="shared" si="79"/>
        <v>1.3020833333333772</v>
      </c>
      <c r="BF1879" t="e">
        <f t="shared" ca="1" si="78"/>
        <v>#VALUE!</v>
      </c>
    </row>
    <row r="1880" spans="57:58">
      <c r="BE1880" s="19">
        <f t="shared" si="79"/>
        <v>1.3027777777778218</v>
      </c>
      <c r="BF1880" t="e">
        <f t="shared" ca="1" si="78"/>
        <v>#VALUE!</v>
      </c>
    </row>
    <row r="1881" spans="57:58">
      <c r="BE1881" s="19">
        <f t="shared" si="79"/>
        <v>1.3034722222222663</v>
      </c>
      <c r="BF1881" t="e">
        <f t="shared" ca="1" si="78"/>
        <v>#VALUE!</v>
      </c>
    </row>
    <row r="1882" spans="57:58">
      <c r="BE1882" s="19">
        <f t="shared" si="79"/>
        <v>1.3041666666667109</v>
      </c>
      <c r="BF1882" t="e">
        <f t="shared" ca="1" si="78"/>
        <v>#VALUE!</v>
      </c>
    </row>
    <row r="1883" spans="57:58">
      <c r="BE1883" s="19">
        <f t="shared" si="79"/>
        <v>1.3048611111111554</v>
      </c>
      <c r="BF1883" t="e">
        <f t="shared" ca="1" si="78"/>
        <v>#VALUE!</v>
      </c>
    </row>
    <row r="1884" spans="57:58">
      <c r="BE1884" s="19">
        <f t="shared" si="79"/>
        <v>1.3055555555556</v>
      </c>
      <c r="BF1884" t="e">
        <f t="shared" ca="1" si="78"/>
        <v>#VALUE!</v>
      </c>
    </row>
    <row r="1885" spans="57:58">
      <c r="BE1885" s="19">
        <f t="shared" si="79"/>
        <v>1.3062500000000445</v>
      </c>
      <c r="BF1885" t="e">
        <f t="shared" ca="1" si="78"/>
        <v>#VALUE!</v>
      </c>
    </row>
    <row r="1886" spans="57:58">
      <c r="BE1886" s="19">
        <f t="shared" si="79"/>
        <v>1.3069444444444891</v>
      </c>
      <c r="BF1886" t="e">
        <f t="shared" ca="1" si="78"/>
        <v>#VALUE!</v>
      </c>
    </row>
    <row r="1887" spans="57:58">
      <c r="BE1887" s="19">
        <f t="shared" si="79"/>
        <v>1.3076388888889336</v>
      </c>
      <c r="BF1887" t="e">
        <f t="shared" ca="1" si="78"/>
        <v>#VALUE!</v>
      </c>
    </row>
    <row r="1888" spans="57:58">
      <c r="BE1888" s="19">
        <f t="shared" si="79"/>
        <v>1.3083333333333782</v>
      </c>
      <c r="BF1888" t="e">
        <f t="shared" ca="1" si="78"/>
        <v>#VALUE!</v>
      </c>
    </row>
    <row r="1889" spans="57:58">
      <c r="BE1889" s="19">
        <f t="shared" si="79"/>
        <v>1.3090277777778228</v>
      </c>
      <c r="BF1889" t="e">
        <f t="shared" ca="1" si="78"/>
        <v>#VALUE!</v>
      </c>
    </row>
    <row r="1890" spans="57:58">
      <c r="BE1890" s="19">
        <f t="shared" si="79"/>
        <v>1.3097222222222673</v>
      </c>
      <c r="BF1890" t="e">
        <f t="shared" ca="1" si="78"/>
        <v>#VALUE!</v>
      </c>
    </row>
    <row r="1891" spans="57:58">
      <c r="BE1891" s="19">
        <f t="shared" si="79"/>
        <v>1.3104166666667119</v>
      </c>
      <c r="BF1891" t="e">
        <f t="shared" ca="1" si="78"/>
        <v>#VALUE!</v>
      </c>
    </row>
    <row r="1892" spans="57:58">
      <c r="BE1892" s="19">
        <f t="shared" si="79"/>
        <v>1.3111111111111564</v>
      </c>
      <c r="BF1892" t="e">
        <f t="shared" ref="BF1892:BF1955" ca="1" si="80">IF(BE1892&lt;$B$5-1/1440,0,OFFSET($N$4,(BE1892-$B$4)*1440,0,1,1))</f>
        <v>#VALUE!</v>
      </c>
    </row>
    <row r="1893" spans="57:58">
      <c r="BE1893" s="19">
        <f t="shared" si="79"/>
        <v>1.311805555555601</v>
      </c>
      <c r="BF1893" t="e">
        <f t="shared" ca="1" si="80"/>
        <v>#VALUE!</v>
      </c>
    </row>
    <row r="1894" spans="57:58">
      <c r="BE1894" s="19">
        <f t="shared" si="79"/>
        <v>1.3125000000000455</v>
      </c>
      <c r="BF1894" t="e">
        <f t="shared" ca="1" si="80"/>
        <v>#VALUE!</v>
      </c>
    </row>
    <row r="1895" spans="57:58">
      <c r="BE1895" s="19">
        <f t="shared" si="79"/>
        <v>1.3131944444444901</v>
      </c>
      <c r="BF1895" t="e">
        <f t="shared" ca="1" si="80"/>
        <v>#VALUE!</v>
      </c>
    </row>
    <row r="1896" spans="57:58">
      <c r="BE1896" s="19">
        <f t="shared" si="79"/>
        <v>1.3138888888889346</v>
      </c>
      <c r="BF1896" t="e">
        <f t="shared" ca="1" si="80"/>
        <v>#VALUE!</v>
      </c>
    </row>
    <row r="1897" spans="57:58">
      <c r="BE1897" s="19">
        <f t="shared" si="79"/>
        <v>1.3145833333333792</v>
      </c>
      <c r="BF1897" t="e">
        <f t="shared" ca="1" si="80"/>
        <v>#VALUE!</v>
      </c>
    </row>
    <row r="1898" spans="57:58">
      <c r="BE1898" s="19">
        <f t="shared" si="79"/>
        <v>1.3152777777778237</v>
      </c>
      <c r="BF1898" t="e">
        <f t="shared" ca="1" si="80"/>
        <v>#VALUE!</v>
      </c>
    </row>
    <row r="1899" spans="57:58">
      <c r="BE1899" s="19">
        <f t="shared" si="79"/>
        <v>1.3159722222222683</v>
      </c>
      <c r="BF1899" t="e">
        <f t="shared" ca="1" si="80"/>
        <v>#VALUE!</v>
      </c>
    </row>
    <row r="1900" spans="57:58">
      <c r="BE1900" s="19">
        <f t="shared" si="79"/>
        <v>1.3166666666667128</v>
      </c>
      <c r="BF1900" t="e">
        <f t="shared" ca="1" si="80"/>
        <v>#VALUE!</v>
      </c>
    </row>
    <row r="1901" spans="57:58">
      <c r="BE1901" s="19">
        <f t="shared" si="79"/>
        <v>1.3173611111111574</v>
      </c>
      <c r="BF1901" t="e">
        <f t="shared" ca="1" si="80"/>
        <v>#VALUE!</v>
      </c>
    </row>
    <row r="1902" spans="57:58">
      <c r="BE1902" s="19">
        <f t="shared" si="79"/>
        <v>1.3180555555556019</v>
      </c>
      <c r="BF1902" t="e">
        <f t="shared" ca="1" si="80"/>
        <v>#VALUE!</v>
      </c>
    </row>
    <row r="1903" spans="57:58">
      <c r="BE1903" s="19">
        <f t="shared" si="79"/>
        <v>1.3187500000000465</v>
      </c>
      <c r="BF1903" t="e">
        <f t="shared" ca="1" si="80"/>
        <v>#VALUE!</v>
      </c>
    </row>
    <row r="1904" spans="57:58">
      <c r="BE1904" s="19">
        <f t="shared" si="79"/>
        <v>1.319444444444491</v>
      </c>
      <c r="BF1904" t="e">
        <f t="shared" ca="1" si="80"/>
        <v>#VALUE!</v>
      </c>
    </row>
    <row r="1905" spans="57:58">
      <c r="BE1905" s="19">
        <f t="shared" si="79"/>
        <v>1.3201388888889356</v>
      </c>
      <c r="BF1905" t="e">
        <f t="shared" ca="1" si="80"/>
        <v>#VALUE!</v>
      </c>
    </row>
    <row r="1906" spans="57:58">
      <c r="BE1906" s="19">
        <f t="shared" si="79"/>
        <v>1.3208333333333802</v>
      </c>
      <c r="BF1906" t="e">
        <f t="shared" ca="1" si="80"/>
        <v>#VALUE!</v>
      </c>
    </row>
    <row r="1907" spans="57:58">
      <c r="BE1907" s="19">
        <f t="shared" si="79"/>
        <v>1.3215277777778247</v>
      </c>
      <c r="BF1907" t="e">
        <f t="shared" ca="1" si="80"/>
        <v>#VALUE!</v>
      </c>
    </row>
    <row r="1908" spans="57:58">
      <c r="BE1908" s="19">
        <f t="shared" si="79"/>
        <v>1.3222222222222693</v>
      </c>
      <c r="BF1908" t="e">
        <f t="shared" ca="1" si="80"/>
        <v>#VALUE!</v>
      </c>
    </row>
    <row r="1909" spans="57:58">
      <c r="BE1909" s="19">
        <f t="shared" si="79"/>
        <v>1.3229166666667138</v>
      </c>
      <c r="BF1909" t="e">
        <f t="shared" ca="1" si="80"/>
        <v>#VALUE!</v>
      </c>
    </row>
    <row r="1910" spans="57:58">
      <c r="BE1910" s="19">
        <f t="shared" si="79"/>
        <v>1.3236111111111584</v>
      </c>
      <c r="BF1910" t="e">
        <f t="shared" ca="1" si="80"/>
        <v>#VALUE!</v>
      </c>
    </row>
    <row r="1911" spans="57:58">
      <c r="BE1911" s="19">
        <f t="shared" si="79"/>
        <v>1.3243055555556029</v>
      </c>
      <c r="BF1911" t="e">
        <f t="shared" ca="1" si="80"/>
        <v>#VALUE!</v>
      </c>
    </row>
    <row r="1912" spans="57:58">
      <c r="BE1912" s="19">
        <f t="shared" si="79"/>
        <v>1.3250000000000475</v>
      </c>
      <c r="BF1912" t="e">
        <f t="shared" ca="1" si="80"/>
        <v>#VALUE!</v>
      </c>
    </row>
    <row r="1913" spans="57:58">
      <c r="BE1913" s="19">
        <f t="shared" si="79"/>
        <v>1.325694444444492</v>
      </c>
      <c r="BF1913" t="e">
        <f t="shared" ca="1" si="80"/>
        <v>#VALUE!</v>
      </c>
    </row>
    <row r="1914" spans="57:58">
      <c r="BE1914" s="19">
        <f t="shared" si="79"/>
        <v>1.3263888888889366</v>
      </c>
      <c r="BF1914" t="e">
        <f t="shared" ca="1" si="80"/>
        <v>#VALUE!</v>
      </c>
    </row>
    <row r="1915" spans="57:58">
      <c r="BE1915" s="19">
        <f t="shared" si="79"/>
        <v>1.3270833333333811</v>
      </c>
      <c r="BF1915" t="e">
        <f t="shared" ca="1" si="80"/>
        <v>#VALUE!</v>
      </c>
    </row>
    <row r="1916" spans="57:58">
      <c r="BE1916" s="19">
        <f t="shared" si="79"/>
        <v>1.3277777777778257</v>
      </c>
      <c r="BF1916" t="e">
        <f t="shared" ca="1" si="80"/>
        <v>#VALUE!</v>
      </c>
    </row>
    <row r="1917" spans="57:58">
      <c r="BE1917" s="19">
        <f t="shared" si="79"/>
        <v>1.3284722222222702</v>
      </c>
      <c r="BF1917" t="e">
        <f t="shared" ca="1" si="80"/>
        <v>#VALUE!</v>
      </c>
    </row>
    <row r="1918" spans="57:58">
      <c r="BE1918" s="19">
        <f t="shared" si="79"/>
        <v>1.3291666666667148</v>
      </c>
      <c r="BF1918" t="e">
        <f t="shared" ca="1" si="80"/>
        <v>#VALUE!</v>
      </c>
    </row>
    <row r="1919" spans="57:58">
      <c r="BE1919" s="19">
        <f t="shared" si="79"/>
        <v>1.3298611111111593</v>
      </c>
      <c r="BF1919" t="e">
        <f t="shared" ca="1" si="80"/>
        <v>#VALUE!</v>
      </c>
    </row>
    <row r="1920" spans="57:58">
      <c r="BE1920" s="19">
        <f t="shared" si="79"/>
        <v>1.3305555555556039</v>
      </c>
      <c r="BF1920" t="e">
        <f t="shared" ca="1" si="80"/>
        <v>#VALUE!</v>
      </c>
    </row>
    <row r="1921" spans="57:58">
      <c r="BE1921" s="19">
        <f t="shared" si="79"/>
        <v>1.3312500000000485</v>
      </c>
      <c r="BF1921" t="e">
        <f t="shared" ca="1" si="80"/>
        <v>#VALUE!</v>
      </c>
    </row>
    <row r="1922" spans="57:58">
      <c r="BE1922" s="19">
        <f t="shared" si="79"/>
        <v>1.331944444444493</v>
      </c>
      <c r="BF1922" t="e">
        <f t="shared" ca="1" si="80"/>
        <v>#VALUE!</v>
      </c>
    </row>
    <row r="1923" spans="57:58">
      <c r="BE1923" s="19">
        <f t="shared" si="79"/>
        <v>1.3326388888889376</v>
      </c>
      <c r="BF1923" t="e">
        <f t="shared" ca="1" si="80"/>
        <v>#VALUE!</v>
      </c>
    </row>
    <row r="1924" spans="57:58">
      <c r="BE1924" s="19">
        <f t="shared" si="79"/>
        <v>1.3333333333333821</v>
      </c>
      <c r="BF1924" t="e">
        <f t="shared" ca="1" si="80"/>
        <v>#VALUE!</v>
      </c>
    </row>
    <row r="1925" spans="57:58">
      <c r="BE1925" s="19">
        <f t="shared" si="79"/>
        <v>1.3340277777778267</v>
      </c>
      <c r="BF1925" t="e">
        <f t="shared" ca="1" si="80"/>
        <v>#VALUE!</v>
      </c>
    </row>
    <row r="1926" spans="57:58">
      <c r="BE1926" s="19">
        <f t="shared" ref="BE1926:BE1989" si="81">BE1925+1/1440</f>
        <v>1.3347222222222712</v>
      </c>
      <c r="BF1926" t="e">
        <f t="shared" ca="1" si="80"/>
        <v>#VALUE!</v>
      </c>
    </row>
    <row r="1927" spans="57:58">
      <c r="BE1927" s="19">
        <f t="shared" si="81"/>
        <v>1.3354166666667158</v>
      </c>
      <c r="BF1927" t="e">
        <f t="shared" ca="1" si="80"/>
        <v>#VALUE!</v>
      </c>
    </row>
    <row r="1928" spans="57:58">
      <c r="BE1928" s="19">
        <f t="shared" si="81"/>
        <v>1.3361111111111603</v>
      </c>
      <c r="BF1928" t="e">
        <f t="shared" ca="1" si="80"/>
        <v>#VALUE!</v>
      </c>
    </row>
    <row r="1929" spans="57:58">
      <c r="BE1929" s="19">
        <f t="shared" si="81"/>
        <v>1.3368055555556049</v>
      </c>
      <c r="BF1929" t="e">
        <f t="shared" ca="1" si="80"/>
        <v>#VALUE!</v>
      </c>
    </row>
    <row r="1930" spans="57:58">
      <c r="BE1930" s="19">
        <f t="shared" si="81"/>
        <v>1.3375000000000494</v>
      </c>
      <c r="BF1930" t="e">
        <f t="shared" ca="1" si="80"/>
        <v>#VALUE!</v>
      </c>
    </row>
    <row r="1931" spans="57:58">
      <c r="BE1931" s="19">
        <f t="shared" si="81"/>
        <v>1.338194444444494</v>
      </c>
      <c r="BF1931" t="e">
        <f t="shared" ca="1" si="80"/>
        <v>#VALUE!</v>
      </c>
    </row>
    <row r="1932" spans="57:58">
      <c r="BE1932" s="19">
        <f t="shared" si="81"/>
        <v>1.3388888888889385</v>
      </c>
      <c r="BF1932" t="e">
        <f t="shared" ca="1" si="80"/>
        <v>#VALUE!</v>
      </c>
    </row>
    <row r="1933" spans="57:58">
      <c r="BE1933" s="19">
        <f t="shared" si="81"/>
        <v>1.3395833333333831</v>
      </c>
      <c r="BF1933" t="e">
        <f t="shared" ca="1" si="80"/>
        <v>#VALUE!</v>
      </c>
    </row>
    <row r="1934" spans="57:58">
      <c r="BE1934" s="19">
        <f t="shared" si="81"/>
        <v>1.3402777777778276</v>
      </c>
      <c r="BF1934" t="e">
        <f t="shared" ca="1" si="80"/>
        <v>#VALUE!</v>
      </c>
    </row>
    <row r="1935" spans="57:58">
      <c r="BE1935" s="19">
        <f t="shared" si="81"/>
        <v>1.3409722222222722</v>
      </c>
      <c r="BF1935" t="e">
        <f t="shared" ca="1" si="80"/>
        <v>#VALUE!</v>
      </c>
    </row>
    <row r="1936" spans="57:58">
      <c r="BE1936" s="19">
        <f t="shared" si="81"/>
        <v>1.3416666666667167</v>
      </c>
      <c r="BF1936" t="e">
        <f t="shared" ca="1" si="80"/>
        <v>#VALUE!</v>
      </c>
    </row>
    <row r="1937" spans="57:58">
      <c r="BE1937" s="19">
        <f t="shared" si="81"/>
        <v>1.3423611111111613</v>
      </c>
      <c r="BF1937" t="e">
        <f t="shared" ca="1" si="80"/>
        <v>#VALUE!</v>
      </c>
    </row>
    <row r="1938" spans="57:58">
      <c r="BE1938" s="19">
        <f t="shared" si="81"/>
        <v>1.3430555555556059</v>
      </c>
      <c r="BF1938" t="e">
        <f t="shared" ca="1" si="80"/>
        <v>#VALUE!</v>
      </c>
    </row>
    <row r="1939" spans="57:58">
      <c r="BE1939" s="19">
        <f t="shared" si="81"/>
        <v>1.3437500000000504</v>
      </c>
      <c r="BF1939" t="e">
        <f t="shared" ca="1" si="80"/>
        <v>#VALUE!</v>
      </c>
    </row>
    <row r="1940" spans="57:58">
      <c r="BE1940" s="19">
        <f t="shared" si="81"/>
        <v>1.344444444444495</v>
      </c>
      <c r="BF1940" t="e">
        <f t="shared" ca="1" si="80"/>
        <v>#VALUE!</v>
      </c>
    </row>
    <row r="1941" spans="57:58">
      <c r="BE1941" s="19">
        <f t="shared" si="81"/>
        <v>1.3451388888889395</v>
      </c>
      <c r="BF1941" t="e">
        <f t="shared" ca="1" si="80"/>
        <v>#VALUE!</v>
      </c>
    </row>
    <row r="1942" spans="57:58">
      <c r="BE1942" s="19">
        <f t="shared" si="81"/>
        <v>1.3458333333333841</v>
      </c>
      <c r="BF1942" t="e">
        <f t="shared" ca="1" si="80"/>
        <v>#VALUE!</v>
      </c>
    </row>
    <row r="1943" spans="57:58">
      <c r="BE1943" s="19">
        <f t="shared" si="81"/>
        <v>1.3465277777778286</v>
      </c>
      <c r="BF1943" t="e">
        <f t="shared" ca="1" si="80"/>
        <v>#VALUE!</v>
      </c>
    </row>
    <row r="1944" spans="57:58">
      <c r="BE1944" s="19">
        <f t="shared" si="81"/>
        <v>1.3472222222222732</v>
      </c>
      <c r="BF1944" t="e">
        <f t="shared" ca="1" si="80"/>
        <v>#VALUE!</v>
      </c>
    </row>
    <row r="1945" spans="57:58">
      <c r="BE1945" s="19">
        <f t="shared" si="81"/>
        <v>1.3479166666667177</v>
      </c>
      <c r="BF1945" t="e">
        <f t="shared" ca="1" si="80"/>
        <v>#VALUE!</v>
      </c>
    </row>
    <row r="1946" spans="57:58">
      <c r="BE1946" s="19">
        <f t="shared" si="81"/>
        <v>1.3486111111111623</v>
      </c>
      <c r="BF1946" t="e">
        <f t="shared" ca="1" si="80"/>
        <v>#VALUE!</v>
      </c>
    </row>
    <row r="1947" spans="57:58">
      <c r="BE1947" s="19">
        <f t="shared" si="81"/>
        <v>1.3493055555556068</v>
      </c>
      <c r="BF1947" t="e">
        <f t="shared" ca="1" si="80"/>
        <v>#VALUE!</v>
      </c>
    </row>
    <row r="1948" spans="57:58">
      <c r="BE1948" s="19">
        <f t="shared" si="81"/>
        <v>1.3500000000000514</v>
      </c>
      <c r="BF1948" t="e">
        <f t="shared" ca="1" si="80"/>
        <v>#VALUE!</v>
      </c>
    </row>
    <row r="1949" spans="57:58">
      <c r="BE1949" s="19">
        <f t="shared" si="81"/>
        <v>1.3506944444444959</v>
      </c>
      <c r="BF1949" t="e">
        <f t="shared" ca="1" si="80"/>
        <v>#VALUE!</v>
      </c>
    </row>
    <row r="1950" spans="57:58">
      <c r="BE1950" s="19">
        <f t="shared" si="81"/>
        <v>1.3513888888889405</v>
      </c>
      <c r="BF1950" t="e">
        <f t="shared" ca="1" si="80"/>
        <v>#VALUE!</v>
      </c>
    </row>
    <row r="1951" spans="57:58">
      <c r="BE1951" s="19">
        <f t="shared" si="81"/>
        <v>1.352083333333385</v>
      </c>
      <c r="BF1951" t="e">
        <f t="shared" ca="1" si="80"/>
        <v>#VALUE!</v>
      </c>
    </row>
    <row r="1952" spans="57:58">
      <c r="BE1952" s="19">
        <f t="shared" si="81"/>
        <v>1.3527777777778296</v>
      </c>
      <c r="BF1952" t="e">
        <f t="shared" ca="1" si="80"/>
        <v>#VALUE!</v>
      </c>
    </row>
    <row r="1953" spans="57:58">
      <c r="BE1953" s="19">
        <f t="shared" si="81"/>
        <v>1.3534722222222741</v>
      </c>
      <c r="BF1953" t="e">
        <f t="shared" ca="1" si="80"/>
        <v>#VALUE!</v>
      </c>
    </row>
    <row r="1954" spans="57:58">
      <c r="BE1954" s="19">
        <f t="shared" si="81"/>
        <v>1.3541666666667187</v>
      </c>
      <c r="BF1954" t="e">
        <f t="shared" ca="1" si="80"/>
        <v>#VALUE!</v>
      </c>
    </row>
    <row r="1955" spans="57:58">
      <c r="BE1955" s="19">
        <f t="shared" si="81"/>
        <v>1.3548611111111633</v>
      </c>
      <c r="BF1955" t="e">
        <f t="shared" ca="1" si="80"/>
        <v>#VALUE!</v>
      </c>
    </row>
    <row r="1956" spans="57:58">
      <c r="BE1956" s="19">
        <f t="shared" si="81"/>
        <v>1.3555555555556078</v>
      </c>
      <c r="BF1956" t="e">
        <f t="shared" ref="BF1956:BF2019" ca="1" si="82">IF(BE1956&lt;$B$5-1/1440,0,OFFSET($N$4,(BE1956-$B$4)*1440,0,1,1))</f>
        <v>#VALUE!</v>
      </c>
    </row>
    <row r="1957" spans="57:58">
      <c r="BE1957" s="19">
        <f t="shared" si="81"/>
        <v>1.3562500000000524</v>
      </c>
      <c r="BF1957" t="e">
        <f t="shared" ca="1" si="82"/>
        <v>#VALUE!</v>
      </c>
    </row>
    <row r="1958" spans="57:58">
      <c r="BE1958" s="19">
        <f t="shared" si="81"/>
        <v>1.3569444444444969</v>
      </c>
      <c r="BF1958" t="e">
        <f t="shared" ca="1" si="82"/>
        <v>#VALUE!</v>
      </c>
    </row>
    <row r="1959" spans="57:58">
      <c r="BE1959" s="19">
        <f t="shared" si="81"/>
        <v>1.3576388888889415</v>
      </c>
      <c r="BF1959" t="e">
        <f t="shared" ca="1" si="82"/>
        <v>#VALUE!</v>
      </c>
    </row>
    <row r="1960" spans="57:58">
      <c r="BE1960" s="19">
        <f t="shared" si="81"/>
        <v>1.358333333333386</v>
      </c>
      <c r="BF1960" t="e">
        <f t="shared" ca="1" si="82"/>
        <v>#VALUE!</v>
      </c>
    </row>
    <row r="1961" spans="57:58">
      <c r="BE1961" s="19">
        <f t="shared" si="81"/>
        <v>1.3590277777778306</v>
      </c>
      <c r="BF1961" t="e">
        <f t="shared" ca="1" si="82"/>
        <v>#VALUE!</v>
      </c>
    </row>
    <row r="1962" spans="57:58">
      <c r="BE1962" s="19">
        <f t="shared" si="81"/>
        <v>1.3597222222222751</v>
      </c>
      <c r="BF1962" t="e">
        <f t="shared" ca="1" si="82"/>
        <v>#VALUE!</v>
      </c>
    </row>
    <row r="1963" spans="57:58">
      <c r="BE1963" s="19">
        <f t="shared" si="81"/>
        <v>1.3604166666667197</v>
      </c>
      <c r="BF1963" t="e">
        <f t="shared" ca="1" si="82"/>
        <v>#VALUE!</v>
      </c>
    </row>
    <row r="1964" spans="57:58">
      <c r="BE1964" s="19">
        <f t="shared" si="81"/>
        <v>1.3611111111111642</v>
      </c>
      <c r="BF1964" t="e">
        <f t="shared" ca="1" si="82"/>
        <v>#VALUE!</v>
      </c>
    </row>
    <row r="1965" spans="57:58">
      <c r="BE1965" s="19">
        <f t="shared" si="81"/>
        <v>1.3618055555556088</v>
      </c>
      <c r="BF1965" t="e">
        <f t="shared" ca="1" si="82"/>
        <v>#VALUE!</v>
      </c>
    </row>
    <row r="1966" spans="57:58">
      <c r="BE1966" s="19">
        <f t="shared" si="81"/>
        <v>1.3625000000000533</v>
      </c>
      <c r="BF1966" t="e">
        <f t="shared" ca="1" si="82"/>
        <v>#VALUE!</v>
      </c>
    </row>
    <row r="1967" spans="57:58">
      <c r="BE1967" s="19">
        <f t="shared" si="81"/>
        <v>1.3631944444444979</v>
      </c>
      <c r="BF1967" t="e">
        <f t="shared" ca="1" si="82"/>
        <v>#VALUE!</v>
      </c>
    </row>
    <row r="1968" spans="57:58">
      <c r="BE1968" s="19">
        <f t="shared" si="81"/>
        <v>1.3638888888889424</v>
      </c>
      <c r="BF1968" t="e">
        <f t="shared" ca="1" si="82"/>
        <v>#VALUE!</v>
      </c>
    </row>
    <row r="1969" spans="57:58">
      <c r="BE1969" s="19">
        <f t="shared" si="81"/>
        <v>1.364583333333387</v>
      </c>
      <c r="BF1969" t="e">
        <f t="shared" ca="1" si="82"/>
        <v>#VALUE!</v>
      </c>
    </row>
    <row r="1970" spans="57:58">
      <c r="BE1970" s="19">
        <f t="shared" si="81"/>
        <v>1.3652777777778315</v>
      </c>
      <c r="BF1970" t="e">
        <f t="shared" ca="1" si="82"/>
        <v>#VALUE!</v>
      </c>
    </row>
    <row r="1971" spans="57:58">
      <c r="BE1971" s="19">
        <f t="shared" si="81"/>
        <v>1.3659722222222761</v>
      </c>
      <c r="BF1971" t="e">
        <f t="shared" ca="1" si="82"/>
        <v>#VALUE!</v>
      </c>
    </row>
    <row r="1972" spans="57:58">
      <c r="BE1972" s="19">
        <f t="shared" si="81"/>
        <v>1.3666666666667207</v>
      </c>
      <c r="BF1972" t="e">
        <f t="shared" ca="1" si="82"/>
        <v>#VALUE!</v>
      </c>
    </row>
    <row r="1973" spans="57:58">
      <c r="BE1973" s="19">
        <f t="shared" si="81"/>
        <v>1.3673611111111652</v>
      </c>
      <c r="BF1973" t="e">
        <f t="shared" ca="1" si="82"/>
        <v>#VALUE!</v>
      </c>
    </row>
    <row r="1974" spans="57:58">
      <c r="BE1974" s="19">
        <f t="shared" si="81"/>
        <v>1.3680555555556098</v>
      </c>
      <c r="BF1974" t="e">
        <f t="shared" ca="1" si="82"/>
        <v>#VALUE!</v>
      </c>
    </row>
    <row r="1975" spans="57:58">
      <c r="BE1975" s="19">
        <f t="shared" si="81"/>
        <v>1.3687500000000543</v>
      </c>
      <c r="BF1975" t="e">
        <f t="shared" ca="1" si="82"/>
        <v>#VALUE!</v>
      </c>
    </row>
    <row r="1976" spans="57:58">
      <c r="BE1976" s="19">
        <f t="shared" si="81"/>
        <v>1.3694444444444989</v>
      </c>
      <c r="BF1976" t="e">
        <f t="shared" ca="1" si="82"/>
        <v>#VALUE!</v>
      </c>
    </row>
    <row r="1977" spans="57:58">
      <c r="BE1977" s="19">
        <f t="shared" si="81"/>
        <v>1.3701388888889434</v>
      </c>
      <c r="BF1977" t="e">
        <f t="shared" ca="1" si="82"/>
        <v>#VALUE!</v>
      </c>
    </row>
    <row r="1978" spans="57:58">
      <c r="BE1978" s="19">
        <f t="shared" si="81"/>
        <v>1.370833333333388</v>
      </c>
      <c r="BF1978" t="e">
        <f t="shared" ca="1" si="82"/>
        <v>#VALUE!</v>
      </c>
    </row>
    <row r="1979" spans="57:58">
      <c r="BE1979" s="19">
        <f t="shared" si="81"/>
        <v>1.3715277777778325</v>
      </c>
      <c r="BF1979" t="e">
        <f t="shared" ca="1" si="82"/>
        <v>#VALUE!</v>
      </c>
    </row>
    <row r="1980" spans="57:58">
      <c r="BE1980" s="19">
        <f t="shared" si="81"/>
        <v>1.3722222222222771</v>
      </c>
      <c r="BF1980" t="e">
        <f t="shared" ca="1" si="82"/>
        <v>#VALUE!</v>
      </c>
    </row>
    <row r="1981" spans="57:58">
      <c r="BE1981" s="19">
        <f t="shared" si="81"/>
        <v>1.3729166666667216</v>
      </c>
      <c r="BF1981" t="e">
        <f t="shared" ca="1" si="82"/>
        <v>#VALUE!</v>
      </c>
    </row>
    <row r="1982" spans="57:58">
      <c r="BE1982" s="19">
        <f t="shared" si="81"/>
        <v>1.3736111111111662</v>
      </c>
      <c r="BF1982" t="e">
        <f t="shared" ca="1" si="82"/>
        <v>#VALUE!</v>
      </c>
    </row>
    <row r="1983" spans="57:58">
      <c r="BE1983" s="19">
        <f t="shared" si="81"/>
        <v>1.3743055555556107</v>
      </c>
      <c r="BF1983" t="e">
        <f t="shared" ca="1" si="82"/>
        <v>#VALUE!</v>
      </c>
    </row>
    <row r="1984" spans="57:58">
      <c r="BE1984" s="19">
        <f t="shared" si="81"/>
        <v>1.3750000000000553</v>
      </c>
      <c r="BF1984" t="e">
        <f t="shared" ca="1" si="82"/>
        <v>#VALUE!</v>
      </c>
    </row>
    <row r="1985" spans="57:58">
      <c r="BE1985" s="19">
        <f t="shared" si="81"/>
        <v>1.3756944444444998</v>
      </c>
      <c r="BF1985" t="e">
        <f t="shared" ca="1" si="82"/>
        <v>#VALUE!</v>
      </c>
    </row>
    <row r="1986" spans="57:58">
      <c r="BE1986" s="19">
        <f t="shared" si="81"/>
        <v>1.3763888888889444</v>
      </c>
      <c r="BF1986" t="e">
        <f t="shared" ca="1" si="82"/>
        <v>#VALUE!</v>
      </c>
    </row>
    <row r="1987" spans="57:58">
      <c r="BE1987" s="19">
        <f t="shared" si="81"/>
        <v>1.3770833333333889</v>
      </c>
      <c r="BF1987" t="e">
        <f t="shared" ca="1" si="82"/>
        <v>#VALUE!</v>
      </c>
    </row>
    <row r="1988" spans="57:58">
      <c r="BE1988" s="19">
        <f t="shared" si="81"/>
        <v>1.3777777777778335</v>
      </c>
      <c r="BF1988" t="e">
        <f t="shared" ca="1" si="82"/>
        <v>#VALUE!</v>
      </c>
    </row>
    <row r="1989" spans="57:58">
      <c r="BE1989" s="19">
        <f t="shared" si="81"/>
        <v>1.3784722222222781</v>
      </c>
      <c r="BF1989" t="e">
        <f t="shared" ca="1" si="82"/>
        <v>#VALUE!</v>
      </c>
    </row>
    <row r="1990" spans="57:58">
      <c r="BE1990" s="19">
        <f t="shared" ref="BE1990:BE2053" si="83">BE1989+1/1440</f>
        <v>1.3791666666667226</v>
      </c>
      <c r="BF1990" t="e">
        <f t="shared" ca="1" si="82"/>
        <v>#VALUE!</v>
      </c>
    </row>
    <row r="1991" spans="57:58">
      <c r="BE1991" s="19">
        <f t="shared" si="83"/>
        <v>1.3798611111111672</v>
      </c>
      <c r="BF1991" t="e">
        <f t="shared" ca="1" si="82"/>
        <v>#VALUE!</v>
      </c>
    </row>
    <row r="1992" spans="57:58">
      <c r="BE1992" s="19">
        <f t="shared" si="83"/>
        <v>1.3805555555556117</v>
      </c>
      <c r="BF1992" t="e">
        <f t="shared" ca="1" si="82"/>
        <v>#VALUE!</v>
      </c>
    </row>
    <row r="1993" spans="57:58">
      <c r="BE1993" s="19">
        <f t="shared" si="83"/>
        <v>1.3812500000000563</v>
      </c>
      <c r="BF1993" t="e">
        <f t="shared" ca="1" si="82"/>
        <v>#VALUE!</v>
      </c>
    </row>
    <row r="1994" spans="57:58">
      <c r="BE1994" s="19">
        <f t="shared" si="83"/>
        <v>1.3819444444445008</v>
      </c>
      <c r="BF1994" t="e">
        <f t="shared" ca="1" si="82"/>
        <v>#VALUE!</v>
      </c>
    </row>
    <row r="1995" spans="57:58">
      <c r="BE1995" s="19">
        <f t="shared" si="83"/>
        <v>1.3826388888889454</v>
      </c>
      <c r="BF1995" t="e">
        <f t="shared" ca="1" si="82"/>
        <v>#VALUE!</v>
      </c>
    </row>
    <row r="1996" spans="57:58">
      <c r="BE1996" s="19">
        <f t="shared" si="83"/>
        <v>1.3833333333333899</v>
      </c>
      <c r="BF1996" t="e">
        <f t="shared" ca="1" si="82"/>
        <v>#VALUE!</v>
      </c>
    </row>
    <row r="1997" spans="57:58">
      <c r="BE1997" s="19">
        <f t="shared" si="83"/>
        <v>1.3840277777778345</v>
      </c>
      <c r="BF1997" t="e">
        <f t="shared" ca="1" si="82"/>
        <v>#VALUE!</v>
      </c>
    </row>
    <row r="1998" spans="57:58">
      <c r="BE1998" s="19">
        <f t="shared" si="83"/>
        <v>1.384722222222279</v>
      </c>
      <c r="BF1998" t="e">
        <f t="shared" ca="1" si="82"/>
        <v>#VALUE!</v>
      </c>
    </row>
    <row r="1999" spans="57:58">
      <c r="BE1999" s="19">
        <f t="shared" si="83"/>
        <v>1.3854166666667236</v>
      </c>
      <c r="BF1999" t="e">
        <f t="shared" ca="1" si="82"/>
        <v>#VALUE!</v>
      </c>
    </row>
    <row r="2000" spans="57:58">
      <c r="BE2000" s="19">
        <f t="shared" si="83"/>
        <v>1.3861111111111681</v>
      </c>
      <c r="BF2000" t="e">
        <f t="shared" ca="1" si="82"/>
        <v>#VALUE!</v>
      </c>
    </row>
    <row r="2001" spans="57:58">
      <c r="BE2001" s="19">
        <f t="shared" si="83"/>
        <v>1.3868055555556127</v>
      </c>
      <c r="BF2001" t="e">
        <f t="shared" ca="1" si="82"/>
        <v>#VALUE!</v>
      </c>
    </row>
    <row r="2002" spans="57:58">
      <c r="BE2002" s="19">
        <f t="shared" si="83"/>
        <v>1.3875000000000572</v>
      </c>
      <c r="BF2002" t="e">
        <f t="shared" ca="1" si="82"/>
        <v>#VALUE!</v>
      </c>
    </row>
    <row r="2003" spans="57:58">
      <c r="BE2003" s="19">
        <f t="shared" si="83"/>
        <v>1.3881944444445018</v>
      </c>
      <c r="BF2003" t="e">
        <f t="shared" ca="1" si="82"/>
        <v>#VALUE!</v>
      </c>
    </row>
    <row r="2004" spans="57:58">
      <c r="BE2004" s="19">
        <f t="shared" si="83"/>
        <v>1.3888888888889463</v>
      </c>
      <c r="BF2004" t="e">
        <f t="shared" ca="1" si="82"/>
        <v>#VALUE!</v>
      </c>
    </row>
    <row r="2005" spans="57:58">
      <c r="BE2005" s="19">
        <f t="shared" si="83"/>
        <v>1.3895833333333909</v>
      </c>
      <c r="BF2005" t="e">
        <f t="shared" ca="1" si="82"/>
        <v>#VALUE!</v>
      </c>
    </row>
    <row r="2006" spans="57:58">
      <c r="BE2006" s="19">
        <f t="shared" si="83"/>
        <v>1.3902777777778355</v>
      </c>
      <c r="BF2006" t="e">
        <f t="shared" ca="1" si="82"/>
        <v>#VALUE!</v>
      </c>
    </row>
    <row r="2007" spans="57:58">
      <c r="BE2007" s="19">
        <f t="shared" si="83"/>
        <v>1.39097222222228</v>
      </c>
      <c r="BF2007" t="e">
        <f t="shared" ca="1" si="82"/>
        <v>#VALUE!</v>
      </c>
    </row>
    <row r="2008" spans="57:58">
      <c r="BE2008" s="19">
        <f t="shared" si="83"/>
        <v>1.3916666666667246</v>
      </c>
      <c r="BF2008" t="e">
        <f t="shared" ca="1" si="82"/>
        <v>#VALUE!</v>
      </c>
    </row>
    <row r="2009" spans="57:58">
      <c r="BE2009" s="19">
        <f t="shared" si="83"/>
        <v>1.3923611111111691</v>
      </c>
      <c r="BF2009" t="e">
        <f t="shared" ca="1" si="82"/>
        <v>#VALUE!</v>
      </c>
    </row>
    <row r="2010" spans="57:58">
      <c r="BE2010" s="19">
        <f t="shared" si="83"/>
        <v>1.3930555555556137</v>
      </c>
      <c r="BF2010" t="e">
        <f t="shared" ca="1" si="82"/>
        <v>#VALUE!</v>
      </c>
    </row>
    <row r="2011" spans="57:58">
      <c r="BE2011" s="19">
        <f t="shared" si="83"/>
        <v>1.3937500000000582</v>
      </c>
      <c r="BF2011" t="e">
        <f t="shared" ca="1" si="82"/>
        <v>#VALUE!</v>
      </c>
    </row>
    <row r="2012" spans="57:58">
      <c r="BE2012" s="19">
        <f t="shared" si="83"/>
        <v>1.3944444444445028</v>
      </c>
      <c r="BF2012" t="e">
        <f t="shared" ca="1" si="82"/>
        <v>#VALUE!</v>
      </c>
    </row>
    <row r="2013" spans="57:58">
      <c r="BE2013" s="19">
        <f t="shared" si="83"/>
        <v>1.3951388888889473</v>
      </c>
      <c r="BF2013" t="e">
        <f t="shared" ca="1" si="82"/>
        <v>#VALUE!</v>
      </c>
    </row>
    <row r="2014" spans="57:58">
      <c r="BE2014" s="19">
        <f t="shared" si="83"/>
        <v>1.3958333333333919</v>
      </c>
      <c r="BF2014" t="e">
        <f t="shared" ca="1" si="82"/>
        <v>#VALUE!</v>
      </c>
    </row>
    <row r="2015" spans="57:58">
      <c r="BE2015" s="19">
        <f t="shared" si="83"/>
        <v>1.3965277777778364</v>
      </c>
      <c r="BF2015" t="e">
        <f t="shared" ca="1" si="82"/>
        <v>#VALUE!</v>
      </c>
    </row>
    <row r="2016" spans="57:58">
      <c r="BE2016" s="19">
        <f t="shared" si="83"/>
        <v>1.397222222222281</v>
      </c>
      <c r="BF2016" t="e">
        <f t="shared" ca="1" si="82"/>
        <v>#VALUE!</v>
      </c>
    </row>
    <row r="2017" spans="57:58">
      <c r="BE2017" s="19">
        <f t="shared" si="83"/>
        <v>1.3979166666667255</v>
      </c>
      <c r="BF2017" t="e">
        <f t="shared" ca="1" si="82"/>
        <v>#VALUE!</v>
      </c>
    </row>
    <row r="2018" spans="57:58">
      <c r="BE2018" s="19">
        <f t="shared" si="83"/>
        <v>1.3986111111111701</v>
      </c>
      <c r="BF2018" t="e">
        <f t="shared" ca="1" si="82"/>
        <v>#VALUE!</v>
      </c>
    </row>
    <row r="2019" spans="57:58">
      <c r="BE2019" s="19">
        <f t="shared" si="83"/>
        <v>1.3993055555556146</v>
      </c>
      <c r="BF2019" t="e">
        <f t="shared" ca="1" si="82"/>
        <v>#VALUE!</v>
      </c>
    </row>
    <row r="2020" spans="57:58">
      <c r="BE2020" s="19">
        <f t="shared" si="83"/>
        <v>1.4000000000000592</v>
      </c>
      <c r="BF2020" t="e">
        <f t="shared" ref="BF2020:BF2083" ca="1" si="84">IF(BE2020&lt;$B$5-1/1440,0,OFFSET($N$4,(BE2020-$B$4)*1440,0,1,1))</f>
        <v>#VALUE!</v>
      </c>
    </row>
    <row r="2021" spans="57:58">
      <c r="BE2021" s="19">
        <f t="shared" si="83"/>
        <v>1.4006944444445038</v>
      </c>
      <c r="BF2021" t="e">
        <f t="shared" ca="1" si="84"/>
        <v>#VALUE!</v>
      </c>
    </row>
    <row r="2022" spans="57:58">
      <c r="BE2022" s="19">
        <f t="shared" si="83"/>
        <v>1.4013888888889483</v>
      </c>
      <c r="BF2022" t="e">
        <f t="shared" ca="1" si="84"/>
        <v>#VALUE!</v>
      </c>
    </row>
    <row r="2023" spans="57:58">
      <c r="BE2023" s="19">
        <f t="shared" si="83"/>
        <v>1.4020833333333929</v>
      </c>
      <c r="BF2023" t="e">
        <f t="shared" ca="1" si="84"/>
        <v>#VALUE!</v>
      </c>
    </row>
    <row r="2024" spans="57:58">
      <c r="BE2024" s="19">
        <f t="shared" si="83"/>
        <v>1.4027777777778374</v>
      </c>
      <c r="BF2024" t="e">
        <f t="shared" ca="1" si="84"/>
        <v>#VALUE!</v>
      </c>
    </row>
    <row r="2025" spans="57:58">
      <c r="BE2025" s="19">
        <f t="shared" si="83"/>
        <v>1.403472222222282</v>
      </c>
      <c r="BF2025" t="e">
        <f t="shared" ca="1" si="84"/>
        <v>#VALUE!</v>
      </c>
    </row>
    <row r="2026" spans="57:58">
      <c r="BE2026" s="19">
        <f t="shared" si="83"/>
        <v>1.4041666666667265</v>
      </c>
      <c r="BF2026" t="e">
        <f t="shared" ca="1" si="84"/>
        <v>#VALUE!</v>
      </c>
    </row>
    <row r="2027" spans="57:58">
      <c r="BE2027" s="19">
        <f t="shared" si="83"/>
        <v>1.4048611111111711</v>
      </c>
      <c r="BF2027" t="e">
        <f t="shared" ca="1" si="84"/>
        <v>#VALUE!</v>
      </c>
    </row>
    <row r="2028" spans="57:58">
      <c r="BE2028" s="19">
        <f t="shared" si="83"/>
        <v>1.4055555555556156</v>
      </c>
      <c r="BF2028" t="e">
        <f t="shared" ca="1" si="84"/>
        <v>#VALUE!</v>
      </c>
    </row>
    <row r="2029" spans="57:58">
      <c r="BE2029" s="19">
        <f t="shared" si="83"/>
        <v>1.4062500000000602</v>
      </c>
      <c r="BF2029" t="e">
        <f t="shared" ca="1" si="84"/>
        <v>#VALUE!</v>
      </c>
    </row>
    <row r="2030" spans="57:58">
      <c r="BE2030" s="19">
        <f t="shared" si="83"/>
        <v>1.4069444444445047</v>
      </c>
      <c r="BF2030" t="e">
        <f t="shared" ca="1" si="84"/>
        <v>#VALUE!</v>
      </c>
    </row>
    <row r="2031" spans="57:58">
      <c r="BE2031" s="19">
        <f t="shared" si="83"/>
        <v>1.4076388888889493</v>
      </c>
      <c r="BF2031" t="e">
        <f t="shared" ca="1" si="84"/>
        <v>#VALUE!</v>
      </c>
    </row>
    <row r="2032" spans="57:58">
      <c r="BE2032" s="19">
        <f t="shared" si="83"/>
        <v>1.4083333333333938</v>
      </c>
      <c r="BF2032" t="e">
        <f t="shared" ca="1" si="84"/>
        <v>#VALUE!</v>
      </c>
    </row>
    <row r="2033" spans="57:58">
      <c r="BE2033" s="19">
        <f t="shared" si="83"/>
        <v>1.4090277777778384</v>
      </c>
      <c r="BF2033" t="e">
        <f t="shared" ca="1" si="84"/>
        <v>#VALUE!</v>
      </c>
    </row>
    <row r="2034" spans="57:58">
      <c r="BE2034" s="19">
        <f t="shared" si="83"/>
        <v>1.4097222222222829</v>
      </c>
      <c r="BF2034" t="e">
        <f t="shared" ca="1" si="84"/>
        <v>#VALUE!</v>
      </c>
    </row>
    <row r="2035" spans="57:58">
      <c r="BE2035" s="19">
        <f t="shared" si="83"/>
        <v>1.4104166666667275</v>
      </c>
      <c r="BF2035" t="e">
        <f t="shared" ca="1" si="84"/>
        <v>#VALUE!</v>
      </c>
    </row>
    <row r="2036" spans="57:58">
      <c r="BE2036" s="19">
        <f t="shared" si="83"/>
        <v>1.411111111111172</v>
      </c>
      <c r="BF2036" t="e">
        <f t="shared" ca="1" si="84"/>
        <v>#VALUE!</v>
      </c>
    </row>
    <row r="2037" spans="57:58">
      <c r="BE2037" s="19">
        <f t="shared" si="83"/>
        <v>1.4118055555556166</v>
      </c>
      <c r="BF2037" t="e">
        <f t="shared" ca="1" si="84"/>
        <v>#VALUE!</v>
      </c>
    </row>
    <row r="2038" spans="57:58">
      <c r="BE2038" s="19">
        <f t="shared" si="83"/>
        <v>1.4125000000000612</v>
      </c>
      <c r="BF2038" t="e">
        <f t="shared" ca="1" si="84"/>
        <v>#VALUE!</v>
      </c>
    </row>
    <row r="2039" spans="57:58">
      <c r="BE2039" s="19">
        <f t="shared" si="83"/>
        <v>1.4131944444445057</v>
      </c>
      <c r="BF2039" t="e">
        <f t="shared" ca="1" si="84"/>
        <v>#VALUE!</v>
      </c>
    </row>
    <row r="2040" spans="57:58">
      <c r="BE2040" s="19">
        <f t="shared" si="83"/>
        <v>1.4138888888889503</v>
      </c>
      <c r="BF2040" t="e">
        <f t="shared" ca="1" si="84"/>
        <v>#VALUE!</v>
      </c>
    </row>
    <row r="2041" spans="57:58">
      <c r="BE2041" s="19">
        <f t="shared" si="83"/>
        <v>1.4145833333333948</v>
      </c>
      <c r="BF2041" t="e">
        <f t="shared" ca="1" si="84"/>
        <v>#VALUE!</v>
      </c>
    </row>
    <row r="2042" spans="57:58">
      <c r="BE2042" s="19">
        <f t="shared" si="83"/>
        <v>1.4152777777778394</v>
      </c>
      <c r="BF2042" t="e">
        <f t="shared" ca="1" si="84"/>
        <v>#VALUE!</v>
      </c>
    </row>
    <row r="2043" spans="57:58">
      <c r="BE2043" s="19">
        <f t="shared" si="83"/>
        <v>1.4159722222222839</v>
      </c>
      <c r="BF2043" t="e">
        <f t="shared" ca="1" si="84"/>
        <v>#VALUE!</v>
      </c>
    </row>
    <row r="2044" spans="57:58">
      <c r="BE2044" s="19">
        <f t="shared" si="83"/>
        <v>1.4166666666667285</v>
      </c>
      <c r="BF2044" t="e">
        <f t="shared" ca="1" si="84"/>
        <v>#VALUE!</v>
      </c>
    </row>
    <row r="2045" spans="57:58">
      <c r="BE2045" s="19">
        <f t="shared" si="83"/>
        <v>1.417361111111173</v>
      </c>
      <c r="BF2045" t="e">
        <f t="shared" ca="1" si="84"/>
        <v>#VALUE!</v>
      </c>
    </row>
    <row r="2046" spans="57:58">
      <c r="BE2046" s="19">
        <f t="shared" si="83"/>
        <v>1.4180555555556176</v>
      </c>
      <c r="BF2046" t="e">
        <f t="shared" ca="1" si="84"/>
        <v>#VALUE!</v>
      </c>
    </row>
    <row r="2047" spans="57:58">
      <c r="BE2047" s="19">
        <f t="shared" si="83"/>
        <v>1.4187500000000621</v>
      </c>
      <c r="BF2047" t="e">
        <f t="shared" ca="1" si="84"/>
        <v>#VALUE!</v>
      </c>
    </row>
    <row r="2048" spans="57:58">
      <c r="BE2048" s="19">
        <f t="shared" si="83"/>
        <v>1.4194444444445067</v>
      </c>
      <c r="BF2048" t="e">
        <f t="shared" ca="1" si="84"/>
        <v>#VALUE!</v>
      </c>
    </row>
    <row r="2049" spans="57:58">
      <c r="BE2049" s="19">
        <f t="shared" si="83"/>
        <v>1.4201388888889512</v>
      </c>
      <c r="BF2049" t="e">
        <f t="shared" ca="1" si="84"/>
        <v>#VALUE!</v>
      </c>
    </row>
    <row r="2050" spans="57:58">
      <c r="BE2050" s="19">
        <f t="shared" si="83"/>
        <v>1.4208333333333958</v>
      </c>
      <c r="BF2050" t="e">
        <f t="shared" ca="1" si="84"/>
        <v>#VALUE!</v>
      </c>
    </row>
    <row r="2051" spans="57:58">
      <c r="BE2051" s="19">
        <f t="shared" si="83"/>
        <v>1.4215277777778403</v>
      </c>
      <c r="BF2051" t="e">
        <f t="shared" ca="1" si="84"/>
        <v>#VALUE!</v>
      </c>
    </row>
    <row r="2052" spans="57:58">
      <c r="BE2052" s="19">
        <f t="shared" si="83"/>
        <v>1.4222222222222849</v>
      </c>
      <c r="BF2052" t="e">
        <f t="shared" ca="1" si="84"/>
        <v>#VALUE!</v>
      </c>
    </row>
    <row r="2053" spans="57:58">
      <c r="BE2053" s="19">
        <f t="shared" si="83"/>
        <v>1.4229166666667294</v>
      </c>
      <c r="BF2053" t="e">
        <f t="shared" ca="1" si="84"/>
        <v>#VALUE!</v>
      </c>
    </row>
    <row r="2054" spans="57:58">
      <c r="BE2054" s="19">
        <f t="shared" ref="BE2054:BE2117" si="85">BE2053+1/1440</f>
        <v>1.423611111111174</v>
      </c>
      <c r="BF2054" t="e">
        <f t="shared" ca="1" si="84"/>
        <v>#VALUE!</v>
      </c>
    </row>
    <row r="2055" spans="57:58">
      <c r="BE2055" s="19">
        <f t="shared" si="85"/>
        <v>1.4243055555556186</v>
      </c>
      <c r="BF2055" t="e">
        <f t="shared" ca="1" si="84"/>
        <v>#VALUE!</v>
      </c>
    </row>
    <row r="2056" spans="57:58">
      <c r="BE2056" s="19">
        <f t="shared" si="85"/>
        <v>1.4250000000000631</v>
      </c>
      <c r="BF2056" t="e">
        <f t="shared" ca="1" si="84"/>
        <v>#VALUE!</v>
      </c>
    </row>
    <row r="2057" spans="57:58">
      <c r="BE2057" s="19">
        <f t="shared" si="85"/>
        <v>1.4256944444445077</v>
      </c>
      <c r="BF2057" t="e">
        <f t="shared" ca="1" si="84"/>
        <v>#VALUE!</v>
      </c>
    </row>
    <row r="2058" spans="57:58">
      <c r="BE2058" s="19">
        <f t="shared" si="85"/>
        <v>1.4263888888889522</v>
      </c>
      <c r="BF2058" t="e">
        <f t="shared" ca="1" si="84"/>
        <v>#VALUE!</v>
      </c>
    </row>
    <row r="2059" spans="57:58">
      <c r="BE2059" s="19">
        <f t="shared" si="85"/>
        <v>1.4270833333333968</v>
      </c>
      <c r="BF2059" t="e">
        <f t="shared" ca="1" si="84"/>
        <v>#VALUE!</v>
      </c>
    </row>
    <row r="2060" spans="57:58">
      <c r="BE2060" s="19">
        <f t="shared" si="85"/>
        <v>1.4277777777778413</v>
      </c>
      <c r="BF2060" t="e">
        <f t="shared" ca="1" si="84"/>
        <v>#VALUE!</v>
      </c>
    </row>
    <row r="2061" spans="57:58">
      <c r="BE2061" s="19">
        <f t="shared" si="85"/>
        <v>1.4284722222222859</v>
      </c>
      <c r="BF2061" t="e">
        <f t="shared" ca="1" si="84"/>
        <v>#VALUE!</v>
      </c>
    </row>
    <row r="2062" spans="57:58">
      <c r="BE2062" s="19">
        <f t="shared" si="85"/>
        <v>1.4291666666667304</v>
      </c>
      <c r="BF2062" t="e">
        <f t="shared" ca="1" si="84"/>
        <v>#VALUE!</v>
      </c>
    </row>
    <row r="2063" spans="57:58">
      <c r="BE2063" s="19">
        <f t="shared" si="85"/>
        <v>1.429861111111175</v>
      </c>
      <c r="BF2063" t="e">
        <f t="shared" ca="1" si="84"/>
        <v>#VALUE!</v>
      </c>
    </row>
    <row r="2064" spans="57:58">
      <c r="BE2064" s="19">
        <f t="shared" si="85"/>
        <v>1.4305555555556195</v>
      </c>
      <c r="BF2064" t="e">
        <f t="shared" ca="1" si="84"/>
        <v>#VALUE!</v>
      </c>
    </row>
    <row r="2065" spans="57:58">
      <c r="BE2065" s="19">
        <f t="shared" si="85"/>
        <v>1.4312500000000641</v>
      </c>
      <c r="BF2065" t="e">
        <f t="shared" ca="1" si="84"/>
        <v>#VALUE!</v>
      </c>
    </row>
    <row r="2066" spans="57:58">
      <c r="BE2066" s="19">
        <f t="shared" si="85"/>
        <v>1.4319444444445086</v>
      </c>
      <c r="BF2066" t="e">
        <f t="shared" ca="1" si="84"/>
        <v>#VALUE!</v>
      </c>
    </row>
    <row r="2067" spans="57:58">
      <c r="BE2067" s="19">
        <f t="shared" si="85"/>
        <v>1.4326388888889532</v>
      </c>
      <c r="BF2067" t="e">
        <f t="shared" ca="1" si="84"/>
        <v>#VALUE!</v>
      </c>
    </row>
    <row r="2068" spans="57:58">
      <c r="BE2068" s="19">
        <f t="shared" si="85"/>
        <v>1.4333333333333977</v>
      </c>
      <c r="BF2068" t="e">
        <f t="shared" ca="1" si="84"/>
        <v>#VALUE!</v>
      </c>
    </row>
    <row r="2069" spans="57:58">
      <c r="BE2069" s="19">
        <f t="shared" si="85"/>
        <v>1.4340277777778423</v>
      </c>
      <c r="BF2069" t="e">
        <f t="shared" ca="1" si="84"/>
        <v>#VALUE!</v>
      </c>
    </row>
    <row r="2070" spans="57:58">
      <c r="BE2070" s="19">
        <f t="shared" si="85"/>
        <v>1.4347222222222868</v>
      </c>
      <c r="BF2070" t="e">
        <f t="shared" ca="1" si="84"/>
        <v>#VALUE!</v>
      </c>
    </row>
    <row r="2071" spans="57:58">
      <c r="BE2071" s="19">
        <f t="shared" si="85"/>
        <v>1.4354166666667314</v>
      </c>
      <c r="BF2071" t="e">
        <f t="shared" ca="1" si="84"/>
        <v>#VALUE!</v>
      </c>
    </row>
    <row r="2072" spans="57:58">
      <c r="BE2072" s="19">
        <f t="shared" si="85"/>
        <v>1.436111111111176</v>
      </c>
      <c r="BF2072" t="e">
        <f t="shared" ca="1" si="84"/>
        <v>#VALUE!</v>
      </c>
    </row>
    <row r="2073" spans="57:58">
      <c r="BE2073" s="19">
        <f t="shared" si="85"/>
        <v>1.4368055555556205</v>
      </c>
      <c r="BF2073" t="e">
        <f t="shared" ca="1" si="84"/>
        <v>#VALUE!</v>
      </c>
    </row>
    <row r="2074" spans="57:58">
      <c r="BE2074" s="19">
        <f t="shared" si="85"/>
        <v>1.4375000000000651</v>
      </c>
      <c r="BF2074" t="e">
        <f t="shared" ca="1" si="84"/>
        <v>#VALUE!</v>
      </c>
    </row>
    <row r="2075" spans="57:58">
      <c r="BE2075" s="19">
        <f t="shared" si="85"/>
        <v>1.4381944444445096</v>
      </c>
      <c r="BF2075" t="e">
        <f t="shared" ca="1" si="84"/>
        <v>#VALUE!</v>
      </c>
    </row>
    <row r="2076" spans="57:58">
      <c r="BE2076" s="19">
        <f t="shared" si="85"/>
        <v>1.4388888888889542</v>
      </c>
      <c r="BF2076" t="e">
        <f t="shared" ca="1" si="84"/>
        <v>#VALUE!</v>
      </c>
    </row>
    <row r="2077" spans="57:58">
      <c r="BE2077" s="19">
        <f t="shared" si="85"/>
        <v>1.4395833333333987</v>
      </c>
      <c r="BF2077" t="e">
        <f t="shared" ca="1" si="84"/>
        <v>#VALUE!</v>
      </c>
    </row>
    <row r="2078" spans="57:58">
      <c r="BE2078" s="19">
        <f t="shared" si="85"/>
        <v>1.4402777777778433</v>
      </c>
      <c r="BF2078" t="e">
        <f t="shared" ca="1" si="84"/>
        <v>#VALUE!</v>
      </c>
    </row>
    <row r="2079" spans="57:58">
      <c r="BE2079" s="19">
        <f t="shared" si="85"/>
        <v>1.4409722222222878</v>
      </c>
      <c r="BF2079" t="e">
        <f t="shared" ca="1" si="84"/>
        <v>#VALUE!</v>
      </c>
    </row>
    <row r="2080" spans="57:58">
      <c r="BE2080" s="19">
        <f t="shared" si="85"/>
        <v>1.4416666666667324</v>
      </c>
      <c r="BF2080" t="e">
        <f t="shared" ca="1" si="84"/>
        <v>#VALUE!</v>
      </c>
    </row>
    <row r="2081" spans="57:58">
      <c r="BE2081" s="19">
        <f t="shared" si="85"/>
        <v>1.4423611111111769</v>
      </c>
      <c r="BF2081" t="e">
        <f t="shared" ca="1" si="84"/>
        <v>#VALUE!</v>
      </c>
    </row>
    <row r="2082" spans="57:58">
      <c r="BE2082" s="19">
        <f t="shared" si="85"/>
        <v>1.4430555555556215</v>
      </c>
      <c r="BF2082" t="e">
        <f t="shared" ca="1" si="84"/>
        <v>#VALUE!</v>
      </c>
    </row>
    <row r="2083" spans="57:58">
      <c r="BE2083" s="19">
        <f t="shared" si="85"/>
        <v>1.443750000000066</v>
      </c>
      <c r="BF2083" t="e">
        <f t="shared" ca="1" si="84"/>
        <v>#VALUE!</v>
      </c>
    </row>
    <row r="2084" spans="57:58">
      <c r="BE2084" s="19">
        <f t="shared" si="85"/>
        <v>1.4444444444445106</v>
      </c>
      <c r="BF2084" t="e">
        <f t="shared" ref="BF2084:BF2147" ca="1" si="86">IF(BE2084&lt;$B$5-1/1440,0,OFFSET($N$4,(BE2084-$B$4)*1440,0,1,1))</f>
        <v>#VALUE!</v>
      </c>
    </row>
    <row r="2085" spans="57:58">
      <c r="BE2085" s="19">
        <f t="shared" si="85"/>
        <v>1.4451388888889551</v>
      </c>
      <c r="BF2085" t="e">
        <f t="shared" ca="1" si="86"/>
        <v>#VALUE!</v>
      </c>
    </row>
    <row r="2086" spans="57:58">
      <c r="BE2086" s="19">
        <f t="shared" si="85"/>
        <v>1.4458333333333997</v>
      </c>
      <c r="BF2086" t="e">
        <f t="shared" ca="1" si="86"/>
        <v>#VALUE!</v>
      </c>
    </row>
    <row r="2087" spans="57:58">
      <c r="BE2087" s="19">
        <f t="shared" si="85"/>
        <v>1.4465277777778442</v>
      </c>
      <c r="BF2087" t="e">
        <f t="shared" ca="1" si="86"/>
        <v>#VALUE!</v>
      </c>
    </row>
    <row r="2088" spans="57:58">
      <c r="BE2088" s="19">
        <f t="shared" si="85"/>
        <v>1.4472222222222888</v>
      </c>
      <c r="BF2088" t="e">
        <f t="shared" ca="1" si="86"/>
        <v>#VALUE!</v>
      </c>
    </row>
    <row r="2089" spans="57:58">
      <c r="BE2089" s="19">
        <f t="shared" si="85"/>
        <v>1.4479166666667334</v>
      </c>
      <c r="BF2089" t="e">
        <f t="shared" ca="1" si="86"/>
        <v>#VALUE!</v>
      </c>
    </row>
    <row r="2090" spans="57:58">
      <c r="BE2090" s="19">
        <f t="shared" si="85"/>
        <v>1.4486111111111779</v>
      </c>
      <c r="BF2090" t="e">
        <f t="shared" ca="1" si="86"/>
        <v>#VALUE!</v>
      </c>
    </row>
    <row r="2091" spans="57:58">
      <c r="BE2091" s="19">
        <f t="shared" si="85"/>
        <v>1.4493055555556225</v>
      </c>
      <c r="BF2091" t="e">
        <f t="shared" ca="1" si="86"/>
        <v>#VALUE!</v>
      </c>
    </row>
    <row r="2092" spans="57:58">
      <c r="BE2092" s="19">
        <f t="shared" si="85"/>
        <v>1.450000000000067</v>
      </c>
      <c r="BF2092" t="e">
        <f t="shared" ca="1" si="86"/>
        <v>#VALUE!</v>
      </c>
    </row>
    <row r="2093" spans="57:58">
      <c r="BE2093" s="19">
        <f t="shared" si="85"/>
        <v>1.4506944444445116</v>
      </c>
      <c r="BF2093" t="e">
        <f t="shared" ca="1" si="86"/>
        <v>#VALUE!</v>
      </c>
    </row>
    <row r="2094" spans="57:58">
      <c r="BE2094" s="19">
        <f t="shared" si="85"/>
        <v>1.4513888888889561</v>
      </c>
      <c r="BF2094" t="e">
        <f t="shared" ca="1" si="86"/>
        <v>#VALUE!</v>
      </c>
    </row>
    <row r="2095" spans="57:58">
      <c r="BE2095" s="19">
        <f t="shared" si="85"/>
        <v>1.4520833333334007</v>
      </c>
      <c r="BF2095" t="e">
        <f t="shared" ca="1" si="86"/>
        <v>#VALUE!</v>
      </c>
    </row>
    <row r="2096" spans="57:58">
      <c r="BE2096" s="19">
        <f t="shared" si="85"/>
        <v>1.4527777777778452</v>
      </c>
      <c r="BF2096" t="e">
        <f t="shared" ca="1" si="86"/>
        <v>#VALUE!</v>
      </c>
    </row>
    <row r="2097" spans="57:58">
      <c r="BE2097" s="19">
        <f t="shared" si="85"/>
        <v>1.4534722222222898</v>
      </c>
      <c r="BF2097" t="e">
        <f t="shared" ca="1" si="86"/>
        <v>#VALUE!</v>
      </c>
    </row>
    <row r="2098" spans="57:58">
      <c r="BE2098" s="19">
        <f t="shared" si="85"/>
        <v>1.4541666666667343</v>
      </c>
      <c r="BF2098" t="e">
        <f t="shared" ca="1" si="86"/>
        <v>#VALUE!</v>
      </c>
    </row>
    <row r="2099" spans="57:58">
      <c r="BE2099" s="19">
        <f t="shared" si="85"/>
        <v>1.4548611111111789</v>
      </c>
      <c r="BF2099" t="e">
        <f t="shared" ca="1" si="86"/>
        <v>#VALUE!</v>
      </c>
    </row>
    <row r="2100" spans="57:58">
      <c r="BE2100" s="19">
        <f t="shared" si="85"/>
        <v>1.4555555555556234</v>
      </c>
      <c r="BF2100" t="e">
        <f t="shared" ca="1" si="86"/>
        <v>#VALUE!</v>
      </c>
    </row>
    <row r="2101" spans="57:58">
      <c r="BE2101" s="19">
        <f t="shared" si="85"/>
        <v>1.456250000000068</v>
      </c>
      <c r="BF2101" t="e">
        <f t="shared" ca="1" si="86"/>
        <v>#VALUE!</v>
      </c>
    </row>
    <row r="2102" spans="57:58">
      <c r="BE2102" s="19">
        <f t="shared" si="85"/>
        <v>1.4569444444445125</v>
      </c>
      <c r="BF2102" t="e">
        <f t="shared" ca="1" si="86"/>
        <v>#VALUE!</v>
      </c>
    </row>
    <row r="2103" spans="57:58">
      <c r="BE2103" s="19">
        <f t="shared" si="85"/>
        <v>1.4576388888889571</v>
      </c>
      <c r="BF2103" t="e">
        <f t="shared" ca="1" si="86"/>
        <v>#VALUE!</v>
      </c>
    </row>
    <row r="2104" spans="57:58">
      <c r="BE2104" s="19">
        <f t="shared" si="85"/>
        <v>1.4583333333334016</v>
      </c>
      <c r="BF2104" t="e">
        <f t="shared" ca="1" si="86"/>
        <v>#VALUE!</v>
      </c>
    </row>
    <row r="2105" spans="57:58">
      <c r="BE2105" s="19">
        <f t="shared" si="85"/>
        <v>1.4590277777778462</v>
      </c>
      <c r="BF2105" t="e">
        <f t="shared" ca="1" si="86"/>
        <v>#VALUE!</v>
      </c>
    </row>
    <row r="2106" spans="57:58">
      <c r="BE2106" s="19">
        <f t="shared" si="85"/>
        <v>1.4597222222222908</v>
      </c>
      <c r="BF2106" t="e">
        <f t="shared" ca="1" si="86"/>
        <v>#VALUE!</v>
      </c>
    </row>
    <row r="2107" spans="57:58">
      <c r="BE2107" s="19">
        <f t="shared" si="85"/>
        <v>1.4604166666667353</v>
      </c>
      <c r="BF2107" t="e">
        <f t="shared" ca="1" si="86"/>
        <v>#VALUE!</v>
      </c>
    </row>
    <row r="2108" spans="57:58">
      <c r="BE2108" s="19">
        <f t="shared" si="85"/>
        <v>1.4611111111111799</v>
      </c>
      <c r="BF2108" t="e">
        <f t="shared" ca="1" si="86"/>
        <v>#VALUE!</v>
      </c>
    </row>
    <row r="2109" spans="57:58">
      <c r="BE2109" s="19">
        <f t="shared" si="85"/>
        <v>1.4618055555556244</v>
      </c>
      <c r="BF2109" t="e">
        <f t="shared" ca="1" si="86"/>
        <v>#VALUE!</v>
      </c>
    </row>
    <row r="2110" spans="57:58">
      <c r="BE2110" s="19">
        <f t="shared" si="85"/>
        <v>1.462500000000069</v>
      </c>
      <c r="BF2110" t="e">
        <f t="shared" ca="1" si="86"/>
        <v>#VALUE!</v>
      </c>
    </row>
    <row r="2111" spans="57:58">
      <c r="BE2111" s="19">
        <f t="shared" si="85"/>
        <v>1.4631944444445135</v>
      </c>
      <c r="BF2111" t="e">
        <f t="shared" ca="1" si="86"/>
        <v>#VALUE!</v>
      </c>
    </row>
    <row r="2112" spans="57:58">
      <c r="BE2112" s="19">
        <f t="shared" si="85"/>
        <v>1.4638888888889581</v>
      </c>
      <c r="BF2112" t="e">
        <f t="shared" ca="1" si="86"/>
        <v>#VALUE!</v>
      </c>
    </row>
    <row r="2113" spans="57:58">
      <c r="BE2113" s="19">
        <f t="shared" si="85"/>
        <v>1.4645833333334026</v>
      </c>
      <c r="BF2113" t="e">
        <f t="shared" ca="1" si="86"/>
        <v>#VALUE!</v>
      </c>
    </row>
    <row r="2114" spans="57:58">
      <c r="BE2114" s="19">
        <f t="shared" si="85"/>
        <v>1.4652777777778472</v>
      </c>
      <c r="BF2114" t="e">
        <f t="shared" ca="1" si="86"/>
        <v>#VALUE!</v>
      </c>
    </row>
    <row r="2115" spans="57:58">
      <c r="BE2115" s="19">
        <f t="shared" si="85"/>
        <v>1.4659722222222917</v>
      </c>
      <c r="BF2115" t="e">
        <f t="shared" ca="1" si="86"/>
        <v>#VALUE!</v>
      </c>
    </row>
    <row r="2116" spans="57:58">
      <c r="BE2116" s="19">
        <f t="shared" si="85"/>
        <v>1.4666666666667363</v>
      </c>
      <c r="BF2116" t="e">
        <f t="shared" ca="1" si="86"/>
        <v>#VALUE!</v>
      </c>
    </row>
    <row r="2117" spans="57:58">
      <c r="BE2117" s="19">
        <f t="shared" si="85"/>
        <v>1.4673611111111808</v>
      </c>
      <c r="BF2117" t="e">
        <f t="shared" ca="1" si="86"/>
        <v>#VALUE!</v>
      </c>
    </row>
    <row r="2118" spans="57:58">
      <c r="BE2118" s="19">
        <f t="shared" ref="BE2118:BE2181" si="87">BE2117+1/1440</f>
        <v>1.4680555555556254</v>
      </c>
      <c r="BF2118" t="e">
        <f t="shared" ca="1" si="86"/>
        <v>#VALUE!</v>
      </c>
    </row>
    <row r="2119" spans="57:58">
      <c r="BE2119" s="19">
        <f t="shared" si="87"/>
        <v>1.4687500000000699</v>
      </c>
      <c r="BF2119" t="e">
        <f t="shared" ca="1" si="86"/>
        <v>#VALUE!</v>
      </c>
    </row>
    <row r="2120" spans="57:58">
      <c r="BE2120" s="19">
        <f t="shared" si="87"/>
        <v>1.4694444444445145</v>
      </c>
      <c r="BF2120" t="e">
        <f t="shared" ca="1" si="86"/>
        <v>#VALUE!</v>
      </c>
    </row>
    <row r="2121" spans="57:58">
      <c r="BE2121" s="19">
        <f t="shared" si="87"/>
        <v>1.4701388888889591</v>
      </c>
      <c r="BF2121" t="e">
        <f t="shared" ca="1" si="86"/>
        <v>#VALUE!</v>
      </c>
    </row>
    <row r="2122" spans="57:58">
      <c r="BE2122" s="19">
        <f t="shared" si="87"/>
        <v>1.4708333333334036</v>
      </c>
      <c r="BF2122" t="e">
        <f t="shared" ca="1" si="86"/>
        <v>#VALUE!</v>
      </c>
    </row>
    <row r="2123" spans="57:58">
      <c r="BE2123" s="19">
        <f t="shared" si="87"/>
        <v>1.4715277777778482</v>
      </c>
      <c r="BF2123" t="e">
        <f t="shared" ca="1" si="86"/>
        <v>#VALUE!</v>
      </c>
    </row>
    <row r="2124" spans="57:58">
      <c r="BE2124" s="19">
        <f t="shared" si="87"/>
        <v>1.4722222222222927</v>
      </c>
      <c r="BF2124" t="e">
        <f t="shared" ca="1" si="86"/>
        <v>#VALUE!</v>
      </c>
    </row>
    <row r="2125" spans="57:58">
      <c r="BE2125" s="19">
        <f t="shared" si="87"/>
        <v>1.4729166666667373</v>
      </c>
      <c r="BF2125" t="e">
        <f t="shared" ca="1" si="86"/>
        <v>#VALUE!</v>
      </c>
    </row>
    <row r="2126" spans="57:58">
      <c r="BE2126" s="19">
        <f t="shared" si="87"/>
        <v>1.4736111111111818</v>
      </c>
      <c r="BF2126" t="e">
        <f t="shared" ca="1" si="86"/>
        <v>#VALUE!</v>
      </c>
    </row>
    <row r="2127" spans="57:58">
      <c r="BE2127" s="19">
        <f t="shared" si="87"/>
        <v>1.4743055555556264</v>
      </c>
      <c r="BF2127" t="e">
        <f t="shared" ca="1" si="86"/>
        <v>#VALUE!</v>
      </c>
    </row>
    <row r="2128" spans="57:58">
      <c r="BE2128" s="19">
        <f t="shared" si="87"/>
        <v>1.4750000000000709</v>
      </c>
      <c r="BF2128" t="e">
        <f t="shared" ca="1" si="86"/>
        <v>#VALUE!</v>
      </c>
    </row>
    <row r="2129" spans="57:58">
      <c r="BE2129" s="19">
        <f t="shared" si="87"/>
        <v>1.4756944444445155</v>
      </c>
      <c r="BF2129" t="e">
        <f t="shared" ca="1" si="86"/>
        <v>#VALUE!</v>
      </c>
    </row>
    <row r="2130" spans="57:58">
      <c r="BE2130" s="19">
        <f t="shared" si="87"/>
        <v>1.47638888888896</v>
      </c>
      <c r="BF2130" t="e">
        <f t="shared" ca="1" si="86"/>
        <v>#VALUE!</v>
      </c>
    </row>
    <row r="2131" spans="57:58">
      <c r="BE2131" s="19">
        <f t="shared" si="87"/>
        <v>1.4770833333334046</v>
      </c>
      <c r="BF2131" t="e">
        <f t="shared" ca="1" si="86"/>
        <v>#VALUE!</v>
      </c>
    </row>
    <row r="2132" spans="57:58">
      <c r="BE2132" s="19">
        <f t="shared" si="87"/>
        <v>1.4777777777778491</v>
      </c>
      <c r="BF2132" t="e">
        <f t="shared" ca="1" si="86"/>
        <v>#VALUE!</v>
      </c>
    </row>
    <row r="2133" spans="57:58">
      <c r="BE2133" s="19">
        <f t="shared" si="87"/>
        <v>1.4784722222222937</v>
      </c>
      <c r="BF2133" t="e">
        <f t="shared" ca="1" si="86"/>
        <v>#VALUE!</v>
      </c>
    </row>
    <row r="2134" spans="57:58">
      <c r="BE2134" s="19">
        <f t="shared" si="87"/>
        <v>1.4791666666667382</v>
      </c>
      <c r="BF2134" t="e">
        <f t="shared" ca="1" si="86"/>
        <v>#VALUE!</v>
      </c>
    </row>
    <row r="2135" spans="57:58">
      <c r="BE2135" s="19">
        <f t="shared" si="87"/>
        <v>1.4798611111111828</v>
      </c>
      <c r="BF2135" t="e">
        <f t="shared" ca="1" si="86"/>
        <v>#VALUE!</v>
      </c>
    </row>
    <row r="2136" spans="57:58">
      <c r="BE2136" s="19">
        <f t="shared" si="87"/>
        <v>1.4805555555556273</v>
      </c>
      <c r="BF2136" t="e">
        <f t="shared" ca="1" si="86"/>
        <v>#VALUE!</v>
      </c>
    </row>
    <row r="2137" spans="57:58">
      <c r="BE2137" s="19">
        <f t="shared" si="87"/>
        <v>1.4812500000000719</v>
      </c>
      <c r="BF2137" t="e">
        <f t="shared" ca="1" si="86"/>
        <v>#VALUE!</v>
      </c>
    </row>
    <row r="2138" spans="57:58">
      <c r="BE2138" s="19">
        <f t="shared" si="87"/>
        <v>1.4819444444445165</v>
      </c>
      <c r="BF2138" t="e">
        <f t="shared" ca="1" si="86"/>
        <v>#VALUE!</v>
      </c>
    </row>
    <row r="2139" spans="57:58">
      <c r="BE2139" s="19">
        <f t="shared" si="87"/>
        <v>1.482638888888961</v>
      </c>
      <c r="BF2139" t="e">
        <f t="shared" ca="1" si="86"/>
        <v>#VALUE!</v>
      </c>
    </row>
    <row r="2140" spans="57:58">
      <c r="BE2140" s="19">
        <f t="shared" si="87"/>
        <v>1.4833333333334056</v>
      </c>
      <c r="BF2140" t="e">
        <f t="shared" ca="1" si="86"/>
        <v>#VALUE!</v>
      </c>
    </row>
    <row r="2141" spans="57:58">
      <c r="BE2141" s="19">
        <f t="shared" si="87"/>
        <v>1.4840277777778501</v>
      </c>
      <c r="BF2141" t="e">
        <f t="shared" ca="1" si="86"/>
        <v>#VALUE!</v>
      </c>
    </row>
    <row r="2142" spans="57:58">
      <c r="BE2142" s="19">
        <f t="shared" si="87"/>
        <v>1.4847222222222947</v>
      </c>
      <c r="BF2142" t="e">
        <f t="shared" ca="1" si="86"/>
        <v>#VALUE!</v>
      </c>
    </row>
    <row r="2143" spans="57:58">
      <c r="BE2143" s="19">
        <f t="shared" si="87"/>
        <v>1.4854166666667392</v>
      </c>
      <c r="BF2143" t="e">
        <f t="shared" ca="1" si="86"/>
        <v>#VALUE!</v>
      </c>
    </row>
    <row r="2144" spans="57:58">
      <c r="BE2144" s="19">
        <f t="shared" si="87"/>
        <v>1.4861111111111838</v>
      </c>
      <c r="BF2144" t="e">
        <f t="shared" ca="1" si="86"/>
        <v>#VALUE!</v>
      </c>
    </row>
    <row r="2145" spans="57:58">
      <c r="BE2145" s="19">
        <f t="shared" si="87"/>
        <v>1.4868055555556283</v>
      </c>
      <c r="BF2145" t="e">
        <f t="shared" ca="1" si="86"/>
        <v>#VALUE!</v>
      </c>
    </row>
    <row r="2146" spans="57:58">
      <c r="BE2146" s="19">
        <f t="shared" si="87"/>
        <v>1.4875000000000729</v>
      </c>
      <c r="BF2146" t="e">
        <f t="shared" ca="1" si="86"/>
        <v>#VALUE!</v>
      </c>
    </row>
    <row r="2147" spans="57:58">
      <c r="BE2147" s="19">
        <f t="shared" si="87"/>
        <v>1.4881944444445174</v>
      </c>
      <c r="BF2147" t="e">
        <f t="shared" ca="1" si="86"/>
        <v>#VALUE!</v>
      </c>
    </row>
    <row r="2148" spans="57:58">
      <c r="BE2148" s="19">
        <f t="shared" si="87"/>
        <v>1.488888888888962</v>
      </c>
      <c r="BF2148" t="e">
        <f t="shared" ref="BF2148:BF2211" ca="1" si="88">IF(BE2148&lt;$B$5-1/1440,0,OFFSET($N$4,(BE2148-$B$4)*1440,0,1,1))</f>
        <v>#VALUE!</v>
      </c>
    </row>
    <row r="2149" spans="57:58">
      <c r="BE2149" s="19">
        <f t="shared" si="87"/>
        <v>1.4895833333334065</v>
      </c>
      <c r="BF2149" t="e">
        <f t="shared" ca="1" si="88"/>
        <v>#VALUE!</v>
      </c>
    </row>
    <row r="2150" spans="57:58">
      <c r="BE2150" s="19">
        <f t="shared" si="87"/>
        <v>1.4902777777778511</v>
      </c>
      <c r="BF2150" t="e">
        <f t="shared" ca="1" si="88"/>
        <v>#VALUE!</v>
      </c>
    </row>
    <row r="2151" spans="57:58">
      <c r="BE2151" s="19">
        <f t="shared" si="87"/>
        <v>1.4909722222222956</v>
      </c>
      <c r="BF2151" t="e">
        <f t="shared" ca="1" si="88"/>
        <v>#VALUE!</v>
      </c>
    </row>
    <row r="2152" spans="57:58">
      <c r="BE2152" s="19">
        <f t="shared" si="87"/>
        <v>1.4916666666667402</v>
      </c>
      <c r="BF2152" t="e">
        <f t="shared" ca="1" si="88"/>
        <v>#VALUE!</v>
      </c>
    </row>
    <row r="2153" spans="57:58">
      <c r="BE2153" s="19">
        <f t="shared" si="87"/>
        <v>1.4923611111111847</v>
      </c>
      <c r="BF2153" t="e">
        <f t="shared" ca="1" si="88"/>
        <v>#VALUE!</v>
      </c>
    </row>
    <row r="2154" spans="57:58">
      <c r="BE2154" s="19">
        <f t="shared" si="87"/>
        <v>1.4930555555556293</v>
      </c>
      <c r="BF2154" t="e">
        <f t="shared" ca="1" si="88"/>
        <v>#VALUE!</v>
      </c>
    </row>
    <row r="2155" spans="57:58">
      <c r="BE2155" s="19">
        <f t="shared" si="87"/>
        <v>1.4937500000000739</v>
      </c>
      <c r="BF2155" t="e">
        <f t="shared" ca="1" si="88"/>
        <v>#VALUE!</v>
      </c>
    </row>
    <row r="2156" spans="57:58">
      <c r="BE2156" s="19">
        <f t="shared" si="87"/>
        <v>1.4944444444445184</v>
      </c>
      <c r="BF2156" t="e">
        <f t="shared" ca="1" si="88"/>
        <v>#VALUE!</v>
      </c>
    </row>
    <row r="2157" spans="57:58">
      <c r="BE2157" s="19">
        <f t="shared" si="87"/>
        <v>1.495138888888963</v>
      </c>
      <c r="BF2157" t="e">
        <f t="shared" ca="1" si="88"/>
        <v>#VALUE!</v>
      </c>
    </row>
    <row r="2158" spans="57:58">
      <c r="BE2158" s="19">
        <f t="shared" si="87"/>
        <v>1.4958333333334075</v>
      </c>
      <c r="BF2158" t="e">
        <f t="shared" ca="1" si="88"/>
        <v>#VALUE!</v>
      </c>
    </row>
    <row r="2159" spans="57:58">
      <c r="BE2159" s="19">
        <f t="shared" si="87"/>
        <v>1.4965277777778521</v>
      </c>
      <c r="BF2159" t="e">
        <f t="shared" ca="1" si="88"/>
        <v>#VALUE!</v>
      </c>
    </row>
    <row r="2160" spans="57:58">
      <c r="BE2160" s="19">
        <f t="shared" si="87"/>
        <v>1.4972222222222966</v>
      </c>
      <c r="BF2160" t="e">
        <f t="shared" ca="1" si="88"/>
        <v>#VALUE!</v>
      </c>
    </row>
    <row r="2161" spans="57:58">
      <c r="BE2161" s="19">
        <f t="shared" si="87"/>
        <v>1.4979166666667412</v>
      </c>
      <c r="BF2161" t="e">
        <f t="shared" ca="1" si="88"/>
        <v>#VALUE!</v>
      </c>
    </row>
    <row r="2162" spans="57:58">
      <c r="BE2162" s="19">
        <f t="shared" si="87"/>
        <v>1.4986111111111857</v>
      </c>
      <c r="BF2162" t="e">
        <f t="shared" ca="1" si="88"/>
        <v>#VALUE!</v>
      </c>
    </row>
    <row r="2163" spans="57:58">
      <c r="BE2163" s="19">
        <f t="shared" si="87"/>
        <v>1.4993055555556303</v>
      </c>
      <c r="BF2163" t="e">
        <f t="shared" ca="1" si="88"/>
        <v>#VALUE!</v>
      </c>
    </row>
    <row r="2164" spans="57:58">
      <c r="BE2164" s="19">
        <f t="shared" si="87"/>
        <v>1.5000000000000748</v>
      </c>
      <c r="BF2164" t="e">
        <f t="shared" ca="1" si="88"/>
        <v>#VALUE!</v>
      </c>
    </row>
    <row r="2165" spans="57:58">
      <c r="BE2165" s="19">
        <f t="shared" si="87"/>
        <v>1.5006944444445194</v>
      </c>
      <c r="BF2165" t="e">
        <f t="shared" ca="1" si="88"/>
        <v>#VALUE!</v>
      </c>
    </row>
    <row r="2166" spans="57:58">
      <c r="BE2166" s="19">
        <f t="shared" si="87"/>
        <v>1.5013888888889639</v>
      </c>
      <c r="BF2166" t="e">
        <f t="shared" ca="1" si="88"/>
        <v>#VALUE!</v>
      </c>
    </row>
    <row r="2167" spans="57:58">
      <c r="BE2167" s="19">
        <f t="shared" si="87"/>
        <v>1.5020833333334085</v>
      </c>
      <c r="BF2167" t="e">
        <f t="shared" ca="1" si="88"/>
        <v>#VALUE!</v>
      </c>
    </row>
    <row r="2168" spans="57:58">
      <c r="BE2168" s="19">
        <f t="shared" si="87"/>
        <v>1.502777777777853</v>
      </c>
      <c r="BF2168" t="e">
        <f t="shared" ca="1" si="88"/>
        <v>#VALUE!</v>
      </c>
    </row>
    <row r="2169" spans="57:58">
      <c r="BE2169" s="19">
        <f t="shared" si="87"/>
        <v>1.5034722222222976</v>
      </c>
      <c r="BF2169" t="e">
        <f t="shared" ca="1" si="88"/>
        <v>#VALUE!</v>
      </c>
    </row>
    <row r="2170" spans="57:58">
      <c r="BE2170" s="19">
        <f t="shared" si="87"/>
        <v>1.5041666666667421</v>
      </c>
      <c r="BF2170" t="e">
        <f t="shared" ca="1" si="88"/>
        <v>#VALUE!</v>
      </c>
    </row>
    <row r="2171" spans="57:58">
      <c r="BE2171" s="19">
        <f t="shared" si="87"/>
        <v>1.5048611111111867</v>
      </c>
      <c r="BF2171" t="e">
        <f t="shared" ca="1" si="88"/>
        <v>#VALUE!</v>
      </c>
    </row>
    <row r="2172" spans="57:58">
      <c r="BE2172" s="19">
        <f t="shared" si="87"/>
        <v>1.5055555555556313</v>
      </c>
      <c r="BF2172" t="e">
        <f t="shared" ca="1" si="88"/>
        <v>#VALUE!</v>
      </c>
    </row>
    <row r="2173" spans="57:58">
      <c r="BE2173" s="19">
        <f t="shared" si="87"/>
        <v>1.5062500000000758</v>
      </c>
      <c r="BF2173" t="e">
        <f t="shared" ca="1" si="88"/>
        <v>#VALUE!</v>
      </c>
    </row>
    <row r="2174" spans="57:58">
      <c r="BE2174" s="19">
        <f t="shared" si="87"/>
        <v>1.5069444444445204</v>
      </c>
      <c r="BF2174" t="e">
        <f t="shared" ca="1" si="88"/>
        <v>#VALUE!</v>
      </c>
    </row>
    <row r="2175" spans="57:58">
      <c r="BE2175" s="19">
        <f t="shared" si="87"/>
        <v>1.5076388888889649</v>
      </c>
      <c r="BF2175" t="e">
        <f t="shared" ca="1" si="88"/>
        <v>#VALUE!</v>
      </c>
    </row>
    <row r="2176" spans="57:58">
      <c r="BE2176" s="19">
        <f t="shared" si="87"/>
        <v>1.5083333333334095</v>
      </c>
      <c r="BF2176" t="e">
        <f t="shared" ca="1" si="88"/>
        <v>#VALUE!</v>
      </c>
    </row>
    <row r="2177" spans="57:58">
      <c r="BE2177" s="19">
        <f t="shared" si="87"/>
        <v>1.509027777777854</v>
      </c>
      <c r="BF2177" t="e">
        <f t="shared" ca="1" si="88"/>
        <v>#VALUE!</v>
      </c>
    </row>
    <row r="2178" spans="57:58">
      <c r="BE2178" s="19">
        <f t="shared" si="87"/>
        <v>1.5097222222222986</v>
      </c>
      <c r="BF2178" t="e">
        <f t="shared" ca="1" si="88"/>
        <v>#VALUE!</v>
      </c>
    </row>
    <row r="2179" spans="57:58">
      <c r="BE2179" s="19">
        <f t="shared" si="87"/>
        <v>1.5104166666667431</v>
      </c>
      <c r="BF2179" t="e">
        <f t="shared" ca="1" si="88"/>
        <v>#VALUE!</v>
      </c>
    </row>
    <row r="2180" spans="57:58">
      <c r="BE2180" s="19">
        <f t="shared" si="87"/>
        <v>1.5111111111111877</v>
      </c>
      <c r="BF2180" t="e">
        <f t="shared" ca="1" si="88"/>
        <v>#VALUE!</v>
      </c>
    </row>
    <row r="2181" spans="57:58">
      <c r="BE2181" s="19">
        <f t="shared" si="87"/>
        <v>1.5118055555556322</v>
      </c>
      <c r="BF2181" t="e">
        <f t="shared" ca="1" si="88"/>
        <v>#VALUE!</v>
      </c>
    </row>
    <row r="2182" spans="57:58">
      <c r="BE2182" s="19">
        <f t="shared" ref="BE2182:BE2245" si="89">BE2181+1/1440</f>
        <v>1.5125000000000768</v>
      </c>
      <c r="BF2182" t="e">
        <f t="shared" ca="1" si="88"/>
        <v>#VALUE!</v>
      </c>
    </row>
    <row r="2183" spans="57:58">
      <c r="BE2183" s="19">
        <f t="shared" si="89"/>
        <v>1.5131944444445213</v>
      </c>
      <c r="BF2183" t="e">
        <f t="shared" ca="1" si="88"/>
        <v>#VALUE!</v>
      </c>
    </row>
    <row r="2184" spans="57:58">
      <c r="BE2184" s="19">
        <f t="shared" si="89"/>
        <v>1.5138888888889659</v>
      </c>
      <c r="BF2184" t="e">
        <f t="shared" ca="1" si="88"/>
        <v>#VALUE!</v>
      </c>
    </row>
    <row r="2185" spans="57:58">
      <c r="BE2185" s="19">
        <f t="shared" si="89"/>
        <v>1.5145833333334104</v>
      </c>
      <c r="BF2185" t="e">
        <f t="shared" ca="1" si="88"/>
        <v>#VALUE!</v>
      </c>
    </row>
    <row r="2186" spans="57:58">
      <c r="BE2186" s="19">
        <f t="shared" si="89"/>
        <v>1.515277777777855</v>
      </c>
      <c r="BF2186" t="e">
        <f t="shared" ca="1" si="88"/>
        <v>#VALUE!</v>
      </c>
    </row>
    <row r="2187" spans="57:58">
      <c r="BE2187" s="19">
        <f t="shared" si="89"/>
        <v>1.5159722222222995</v>
      </c>
      <c r="BF2187" t="e">
        <f t="shared" ca="1" si="88"/>
        <v>#VALUE!</v>
      </c>
    </row>
    <row r="2188" spans="57:58">
      <c r="BE2188" s="19">
        <f t="shared" si="89"/>
        <v>1.5166666666667441</v>
      </c>
      <c r="BF2188" t="e">
        <f t="shared" ca="1" si="88"/>
        <v>#VALUE!</v>
      </c>
    </row>
    <row r="2189" spans="57:58">
      <c r="BE2189" s="19">
        <f t="shared" si="89"/>
        <v>1.5173611111111887</v>
      </c>
      <c r="BF2189" t="e">
        <f t="shared" ca="1" si="88"/>
        <v>#VALUE!</v>
      </c>
    </row>
    <row r="2190" spans="57:58">
      <c r="BE2190" s="19">
        <f t="shared" si="89"/>
        <v>1.5180555555556332</v>
      </c>
      <c r="BF2190" t="e">
        <f t="shared" ca="1" si="88"/>
        <v>#VALUE!</v>
      </c>
    </row>
    <row r="2191" spans="57:58">
      <c r="BE2191" s="19">
        <f t="shared" si="89"/>
        <v>1.5187500000000778</v>
      </c>
      <c r="BF2191" t="e">
        <f t="shared" ca="1" si="88"/>
        <v>#VALUE!</v>
      </c>
    </row>
    <row r="2192" spans="57:58">
      <c r="BE2192" s="19">
        <f t="shared" si="89"/>
        <v>1.5194444444445223</v>
      </c>
      <c r="BF2192" t="e">
        <f t="shared" ca="1" si="88"/>
        <v>#VALUE!</v>
      </c>
    </row>
    <row r="2193" spans="57:58">
      <c r="BE2193" s="19">
        <f t="shared" si="89"/>
        <v>1.5201388888889669</v>
      </c>
      <c r="BF2193" t="e">
        <f t="shared" ca="1" si="88"/>
        <v>#VALUE!</v>
      </c>
    </row>
    <row r="2194" spans="57:58">
      <c r="BE2194" s="19">
        <f t="shared" si="89"/>
        <v>1.5208333333334114</v>
      </c>
      <c r="BF2194" t="e">
        <f t="shared" ca="1" si="88"/>
        <v>#VALUE!</v>
      </c>
    </row>
    <row r="2195" spans="57:58">
      <c r="BE2195" s="19">
        <f t="shared" si="89"/>
        <v>1.521527777777856</v>
      </c>
      <c r="BF2195" t="e">
        <f t="shared" ca="1" si="88"/>
        <v>#VALUE!</v>
      </c>
    </row>
    <row r="2196" spans="57:58">
      <c r="BE2196" s="19">
        <f t="shared" si="89"/>
        <v>1.5222222222223005</v>
      </c>
      <c r="BF2196" t="e">
        <f t="shared" ca="1" si="88"/>
        <v>#VALUE!</v>
      </c>
    </row>
    <row r="2197" spans="57:58">
      <c r="BE2197" s="19">
        <f t="shared" si="89"/>
        <v>1.5229166666667451</v>
      </c>
      <c r="BF2197" t="e">
        <f t="shared" ca="1" si="88"/>
        <v>#VALUE!</v>
      </c>
    </row>
    <row r="2198" spans="57:58">
      <c r="BE2198" s="19">
        <f t="shared" si="89"/>
        <v>1.5236111111111896</v>
      </c>
      <c r="BF2198" t="e">
        <f t="shared" ca="1" si="88"/>
        <v>#VALUE!</v>
      </c>
    </row>
    <row r="2199" spans="57:58">
      <c r="BE2199" s="19">
        <f t="shared" si="89"/>
        <v>1.5243055555556342</v>
      </c>
      <c r="BF2199" t="e">
        <f t="shared" ca="1" si="88"/>
        <v>#VALUE!</v>
      </c>
    </row>
    <row r="2200" spans="57:58">
      <c r="BE2200" s="19">
        <f t="shared" si="89"/>
        <v>1.5250000000000787</v>
      </c>
      <c r="BF2200" t="e">
        <f t="shared" ca="1" si="88"/>
        <v>#VALUE!</v>
      </c>
    </row>
    <row r="2201" spans="57:58">
      <c r="BE2201" s="19">
        <f t="shared" si="89"/>
        <v>1.5256944444445233</v>
      </c>
      <c r="BF2201" t="e">
        <f t="shared" ca="1" si="88"/>
        <v>#VALUE!</v>
      </c>
    </row>
    <row r="2202" spans="57:58">
      <c r="BE2202" s="19">
        <f t="shared" si="89"/>
        <v>1.5263888888889678</v>
      </c>
      <c r="BF2202" t="e">
        <f t="shared" ca="1" si="88"/>
        <v>#VALUE!</v>
      </c>
    </row>
    <row r="2203" spans="57:58">
      <c r="BE2203" s="19">
        <f t="shared" si="89"/>
        <v>1.5270833333334124</v>
      </c>
      <c r="BF2203" t="e">
        <f t="shared" ca="1" si="88"/>
        <v>#VALUE!</v>
      </c>
    </row>
    <row r="2204" spans="57:58">
      <c r="BE2204" s="19">
        <f t="shared" si="89"/>
        <v>1.5277777777778569</v>
      </c>
      <c r="BF2204" t="e">
        <f t="shared" ca="1" si="88"/>
        <v>#VALUE!</v>
      </c>
    </row>
    <row r="2205" spans="57:58">
      <c r="BE2205" s="19">
        <f t="shared" si="89"/>
        <v>1.5284722222223015</v>
      </c>
      <c r="BF2205" t="e">
        <f t="shared" ca="1" si="88"/>
        <v>#VALUE!</v>
      </c>
    </row>
    <row r="2206" spans="57:58">
      <c r="BE2206" s="19">
        <f t="shared" si="89"/>
        <v>1.5291666666667461</v>
      </c>
      <c r="BF2206" t="e">
        <f t="shared" ca="1" si="88"/>
        <v>#VALUE!</v>
      </c>
    </row>
    <row r="2207" spans="57:58">
      <c r="BE2207" s="19">
        <f t="shared" si="89"/>
        <v>1.5298611111111906</v>
      </c>
      <c r="BF2207" t="e">
        <f t="shared" ca="1" si="88"/>
        <v>#VALUE!</v>
      </c>
    </row>
    <row r="2208" spans="57:58">
      <c r="BE2208" s="19">
        <f t="shared" si="89"/>
        <v>1.5305555555556352</v>
      </c>
      <c r="BF2208" t="e">
        <f t="shared" ca="1" si="88"/>
        <v>#VALUE!</v>
      </c>
    </row>
    <row r="2209" spans="57:58">
      <c r="BE2209" s="19">
        <f t="shared" si="89"/>
        <v>1.5312500000000797</v>
      </c>
      <c r="BF2209" t="e">
        <f t="shared" ca="1" si="88"/>
        <v>#VALUE!</v>
      </c>
    </row>
    <row r="2210" spans="57:58">
      <c r="BE2210" s="19">
        <f t="shared" si="89"/>
        <v>1.5319444444445243</v>
      </c>
      <c r="BF2210" t="e">
        <f t="shared" ca="1" si="88"/>
        <v>#VALUE!</v>
      </c>
    </row>
    <row r="2211" spans="57:58">
      <c r="BE2211" s="19">
        <f t="shared" si="89"/>
        <v>1.5326388888889688</v>
      </c>
      <c r="BF2211" t="e">
        <f t="shared" ca="1" si="88"/>
        <v>#VALUE!</v>
      </c>
    </row>
    <row r="2212" spans="57:58">
      <c r="BE2212" s="19">
        <f t="shared" si="89"/>
        <v>1.5333333333334134</v>
      </c>
      <c r="BF2212" t="e">
        <f t="shared" ref="BF2212:BF2275" ca="1" si="90">IF(BE2212&lt;$B$5-1/1440,0,OFFSET($N$4,(BE2212-$B$4)*1440,0,1,1))</f>
        <v>#VALUE!</v>
      </c>
    </row>
    <row r="2213" spans="57:58">
      <c r="BE2213" s="19">
        <f t="shared" si="89"/>
        <v>1.5340277777778579</v>
      </c>
      <c r="BF2213" t="e">
        <f t="shared" ca="1" si="90"/>
        <v>#VALUE!</v>
      </c>
    </row>
    <row r="2214" spans="57:58">
      <c r="BE2214" s="19">
        <f t="shared" si="89"/>
        <v>1.5347222222223025</v>
      </c>
      <c r="BF2214" t="e">
        <f t="shared" ca="1" si="90"/>
        <v>#VALUE!</v>
      </c>
    </row>
    <row r="2215" spans="57:58">
      <c r="BE2215" s="19">
        <f t="shared" si="89"/>
        <v>1.535416666666747</v>
      </c>
      <c r="BF2215" t="e">
        <f t="shared" ca="1" si="90"/>
        <v>#VALUE!</v>
      </c>
    </row>
    <row r="2216" spans="57:58">
      <c r="BE2216" s="19">
        <f t="shared" si="89"/>
        <v>1.5361111111111916</v>
      </c>
      <c r="BF2216" t="e">
        <f t="shared" ca="1" si="90"/>
        <v>#VALUE!</v>
      </c>
    </row>
    <row r="2217" spans="57:58">
      <c r="BE2217" s="19">
        <f t="shared" si="89"/>
        <v>1.5368055555556361</v>
      </c>
      <c r="BF2217" t="e">
        <f t="shared" ca="1" si="90"/>
        <v>#VALUE!</v>
      </c>
    </row>
    <row r="2218" spans="57:58">
      <c r="BE2218" s="19">
        <f t="shared" si="89"/>
        <v>1.5375000000000807</v>
      </c>
      <c r="BF2218" t="e">
        <f t="shared" ca="1" si="90"/>
        <v>#VALUE!</v>
      </c>
    </row>
    <row r="2219" spans="57:58">
      <c r="BE2219" s="19">
        <f t="shared" si="89"/>
        <v>1.5381944444445252</v>
      </c>
      <c r="BF2219" t="e">
        <f t="shared" ca="1" si="90"/>
        <v>#VALUE!</v>
      </c>
    </row>
    <row r="2220" spans="57:58">
      <c r="BE2220" s="19">
        <f t="shared" si="89"/>
        <v>1.5388888888889698</v>
      </c>
      <c r="BF2220" t="e">
        <f t="shared" ca="1" si="90"/>
        <v>#VALUE!</v>
      </c>
    </row>
    <row r="2221" spans="57:58">
      <c r="BE2221" s="19">
        <f t="shared" si="89"/>
        <v>1.5395833333334144</v>
      </c>
      <c r="BF2221" t="e">
        <f t="shared" ca="1" si="90"/>
        <v>#VALUE!</v>
      </c>
    </row>
    <row r="2222" spans="57:58">
      <c r="BE2222" s="19">
        <f t="shared" si="89"/>
        <v>1.5402777777778589</v>
      </c>
      <c r="BF2222" t="e">
        <f t="shared" ca="1" si="90"/>
        <v>#VALUE!</v>
      </c>
    </row>
    <row r="2223" spans="57:58">
      <c r="BE2223" s="19">
        <f t="shared" si="89"/>
        <v>1.5409722222223035</v>
      </c>
      <c r="BF2223" t="e">
        <f t="shared" ca="1" si="90"/>
        <v>#VALUE!</v>
      </c>
    </row>
    <row r="2224" spans="57:58">
      <c r="BE2224" s="19">
        <f t="shared" si="89"/>
        <v>1.541666666666748</v>
      </c>
      <c r="BF2224" t="e">
        <f t="shared" ca="1" si="90"/>
        <v>#VALUE!</v>
      </c>
    </row>
    <row r="2225" spans="57:58">
      <c r="BE2225" s="19">
        <f t="shared" si="89"/>
        <v>1.5423611111111926</v>
      </c>
      <c r="BF2225" t="e">
        <f t="shared" ca="1" si="90"/>
        <v>#VALUE!</v>
      </c>
    </row>
    <row r="2226" spans="57:58">
      <c r="BE2226" s="19">
        <f t="shared" si="89"/>
        <v>1.5430555555556371</v>
      </c>
      <c r="BF2226" t="e">
        <f t="shared" ca="1" si="90"/>
        <v>#VALUE!</v>
      </c>
    </row>
    <row r="2227" spans="57:58">
      <c r="BE2227" s="19">
        <f t="shared" si="89"/>
        <v>1.5437500000000817</v>
      </c>
      <c r="BF2227" t="e">
        <f t="shared" ca="1" si="90"/>
        <v>#VALUE!</v>
      </c>
    </row>
    <row r="2228" spans="57:58">
      <c r="BE2228" s="19">
        <f t="shared" si="89"/>
        <v>1.5444444444445262</v>
      </c>
      <c r="BF2228" t="e">
        <f t="shared" ca="1" si="90"/>
        <v>#VALUE!</v>
      </c>
    </row>
    <row r="2229" spans="57:58">
      <c r="BE2229" s="19">
        <f t="shared" si="89"/>
        <v>1.5451388888889708</v>
      </c>
      <c r="BF2229" t="e">
        <f t="shared" ca="1" si="90"/>
        <v>#VALUE!</v>
      </c>
    </row>
    <row r="2230" spans="57:58">
      <c r="BE2230" s="19">
        <f t="shared" si="89"/>
        <v>1.5458333333334153</v>
      </c>
      <c r="BF2230" t="e">
        <f t="shared" ca="1" si="90"/>
        <v>#VALUE!</v>
      </c>
    </row>
    <row r="2231" spans="57:58">
      <c r="BE2231" s="19">
        <f t="shared" si="89"/>
        <v>1.5465277777778599</v>
      </c>
      <c r="BF2231" t="e">
        <f t="shared" ca="1" si="90"/>
        <v>#VALUE!</v>
      </c>
    </row>
    <row r="2232" spans="57:58">
      <c r="BE2232" s="19">
        <f t="shared" si="89"/>
        <v>1.5472222222223044</v>
      </c>
      <c r="BF2232" t="e">
        <f t="shared" ca="1" si="90"/>
        <v>#VALUE!</v>
      </c>
    </row>
    <row r="2233" spans="57:58">
      <c r="BE2233" s="19">
        <f t="shared" si="89"/>
        <v>1.547916666666749</v>
      </c>
      <c r="BF2233" t="e">
        <f t="shared" ca="1" si="90"/>
        <v>#VALUE!</v>
      </c>
    </row>
    <row r="2234" spans="57:58">
      <c r="BE2234" s="19">
        <f t="shared" si="89"/>
        <v>1.5486111111111935</v>
      </c>
      <c r="BF2234" t="e">
        <f t="shared" ca="1" si="90"/>
        <v>#VALUE!</v>
      </c>
    </row>
    <row r="2235" spans="57:58">
      <c r="BE2235" s="19">
        <f t="shared" si="89"/>
        <v>1.5493055555556381</v>
      </c>
      <c r="BF2235" t="e">
        <f t="shared" ca="1" si="90"/>
        <v>#VALUE!</v>
      </c>
    </row>
    <row r="2236" spans="57:58">
      <c r="BE2236" s="19">
        <f t="shared" si="89"/>
        <v>1.5500000000000826</v>
      </c>
      <c r="BF2236" t="e">
        <f t="shared" ca="1" si="90"/>
        <v>#VALUE!</v>
      </c>
    </row>
    <row r="2237" spans="57:58">
      <c r="BE2237" s="19">
        <f t="shared" si="89"/>
        <v>1.5506944444445272</v>
      </c>
      <c r="BF2237" t="e">
        <f t="shared" ca="1" si="90"/>
        <v>#VALUE!</v>
      </c>
    </row>
    <row r="2238" spans="57:58">
      <c r="BE2238" s="19">
        <f t="shared" si="89"/>
        <v>1.5513888888889718</v>
      </c>
      <c r="BF2238" t="e">
        <f t="shared" ca="1" si="90"/>
        <v>#VALUE!</v>
      </c>
    </row>
    <row r="2239" spans="57:58">
      <c r="BE2239" s="19">
        <f t="shared" si="89"/>
        <v>1.5520833333334163</v>
      </c>
      <c r="BF2239" t="e">
        <f t="shared" ca="1" si="90"/>
        <v>#VALUE!</v>
      </c>
    </row>
    <row r="2240" spans="57:58">
      <c r="BE2240" s="19">
        <f t="shared" si="89"/>
        <v>1.5527777777778609</v>
      </c>
      <c r="BF2240" t="e">
        <f t="shared" ca="1" si="90"/>
        <v>#VALUE!</v>
      </c>
    </row>
    <row r="2241" spans="57:58">
      <c r="BE2241" s="19">
        <f t="shared" si="89"/>
        <v>1.5534722222223054</v>
      </c>
      <c r="BF2241" t="e">
        <f t="shared" ca="1" si="90"/>
        <v>#VALUE!</v>
      </c>
    </row>
    <row r="2242" spans="57:58">
      <c r="BE2242" s="19">
        <f t="shared" si="89"/>
        <v>1.55416666666675</v>
      </c>
      <c r="BF2242" t="e">
        <f t="shared" ca="1" si="90"/>
        <v>#VALUE!</v>
      </c>
    </row>
    <row r="2243" spans="57:58">
      <c r="BE2243" s="19">
        <f t="shared" si="89"/>
        <v>1.5548611111111945</v>
      </c>
      <c r="BF2243" t="e">
        <f t="shared" ca="1" si="90"/>
        <v>#VALUE!</v>
      </c>
    </row>
    <row r="2244" spans="57:58">
      <c r="BE2244" s="19">
        <f t="shared" si="89"/>
        <v>1.5555555555556391</v>
      </c>
      <c r="BF2244" t="e">
        <f t="shared" ca="1" si="90"/>
        <v>#VALUE!</v>
      </c>
    </row>
    <row r="2245" spans="57:58">
      <c r="BE2245" s="19">
        <f t="shared" si="89"/>
        <v>1.5562500000000836</v>
      </c>
      <c r="BF2245" t="e">
        <f t="shared" ca="1" si="90"/>
        <v>#VALUE!</v>
      </c>
    </row>
    <row r="2246" spans="57:58">
      <c r="BE2246" s="19">
        <f t="shared" ref="BE2246:BE2309" si="91">BE2245+1/1440</f>
        <v>1.5569444444445282</v>
      </c>
      <c r="BF2246" t="e">
        <f t="shared" ca="1" si="90"/>
        <v>#VALUE!</v>
      </c>
    </row>
    <row r="2247" spans="57:58">
      <c r="BE2247" s="19">
        <f t="shared" si="91"/>
        <v>1.5576388888889727</v>
      </c>
      <c r="BF2247" t="e">
        <f t="shared" ca="1" si="90"/>
        <v>#VALUE!</v>
      </c>
    </row>
    <row r="2248" spans="57:58">
      <c r="BE2248" s="19">
        <f t="shared" si="91"/>
        <v>1.5583333333334173</v>
      </c>
      <c r="BF2248" t="e">
        <f t="shared" ca="1" si="90"/>
        <v>#VALUE!</v>
      </c>
    </row>
    <row r="2249" spans="57:58">
      <c r="BE2249" s="19">
        <f t="shared" si="91"/>
        <v>1.5590277777778618</v>
      </c>
      <c r="BF2249" t="e">
        <f t="shared" ca="1" si="90"/>
        <v>#VALUE!</v>
      </c>
    </row>
    <row r="2250" spans="57:58">
      <c r="BE2250" s="19">
        <f t="shared" si="91"/>
        <v>1.5597222222223064</v>
      </c>
      <c r="BF2250" t="e">
        <f t="shared" ca="1" si="90"/>
        <v>#VALUE!</v>
      </c>
    </row>
    <row r="2251" spans="57:58">
      <c r="BE2251" s="19">
        <f t="shared" si="91"/>
        <v>1.5604166666667509</v>
      </c>
      <c r="BF2251" t="e">
        <f t="shared" ca="1" si="90"/>
        <v>#VALUE!</v>
      </c>
    </row>
    <row r="2252" spans="57:58">
      <c r="BE2252" s="19">
        <f t="shared" si="91"/>
        <v>1.5611111111111955</v>
      </c>
      <c r="BF2252" t="e">
        <f t="shared" ca="1" si="90"/>
        <v>#VALUE!</v>
      </c>
    </row>
    <row r="2253" spans="57:58">
      <c r="BE2253" s="19">
        <f t="shared" si="91"/>
        <v>1.56180555555564</v>
      </c>
      <c r="BF2253" t="e">
        <f t="shared" ca="1" si="90"/>
        <v>#VALUE!</v>
      </c>
    </row>
    <row r="2254" spans="57:58">
      <c r="BE2254" s="19">
        <f t="shared" si="91"/>
        <v>1.5625000000000846</v>
      </c>
      <c r="BF2254" t="e">
        <f t="shared" ca="1" si="90"/>
        <v>#VALUE!</v>
      </c>
    </row>
    <row r="2255" spans="57:58">
      <c r="BE2255" s="19">
        <f t="shared" si="91"/>
        <v>1.5631944444445292</v>
      </c>
      <c r="BF2255" t="e">
        <f t="shared" ca="1" si="90"/>
        <v>#VALUE!</v>
      </c>
    </row>
    <row r="2256" spans="57:58">
      <c r="BE2256" s="19">
        <f t="shared" si="91"/>
        <v>1.5638888888889737</v>
      </c>
      <c r="BF2256" t="e">
        <f t="shared" ca="1" si="90"/>
        <v>#VALUE!</v>
      </c>
    </row>
    <row r="2257" spans="57:58">
      <c r="BE2257" s="19">
        <f t="shared" si="91"/>
        <v>1.5645833333334183</v>
      </c>
      <c r="BF2257" t="e">
        <f t="shared" ca="1" si="90"/>
        <v>#VALUE!</v>
      </c>
    </row>
    <row r="2258" spans="57:58">
      <c r="BE2258" s="19">
        <f t="shared" si="91"/>
        <v>1.5652777777778628</v>
      </c>
      <c r="BF2258" t="e">
        <f t="shared" ca="1" si="90"/>
        <v>#VALUE!</v>
      </c>
    </row>
    <row r="2259" spans="57:58">
      <c r="BE2259" s="19">
        <f t="shared" si="91"/>
        <v>1.5659722222223074</v>
      </c>
      <c r="BF2259" t="e">
        <f t="shared" ca="1" si="90"/>
        <v>#VALUE!</v>
      </c>
    </row>
    <row r="2260" spans="57:58">
      <c r="BE2260" s="19">
        <f t="shared" si="91"/>
        <v>1.5666666666667519</v>
      </c>
      <c r="BF2260" t="e">
        <f t="shared" ca="1" si="90"/>
        <v>#VALUE!</v>
      </c>
    </row>
    <row r="2261" spans="57:58">
      <c r="BE2261" s="19">
        <f t="shared" si="91"/>
        <v>1.5673611111111965</v>
      </c>
      <c r="BF2261" t="e">
        <f t="shared" ca="1" si="90"/>
        <v>#VALUE!</v>
      </c>
    </row>
    <row r="2262" spans="57:58">
      <c r="BE2262" s="19">
        <f t="shared" si="91"/>
        <v>1.568055555555641</v>
      </c>
      <c r="BF2262" t="e">
        <f t="shared" ca="1" si="90"/>
        <v>#VALUE!</v>
      </c>
    </row>
    <row r="2263" spans="57:58">
      <c r="BE2263" s="19">
        <f t="shared" si="91"/>
        <v>1.5687500000000856</v>
      </c>
      <c r="BF2263" t="e">
        <f t="shared" ca="1" si="90"/>
        <v>#VALUE!</v>
      </c>
    </row>
    <row r="2264" spans="57:58">
      <c r="BE2264" s="19">
        <f t="shared" si="91"/>
        <v>1.5694444444445301</v>
      </c>
      <c r="BF2264" t="e">
        <f t="shared" ca="1" si="90"/>
        <v>#VALUE!</v>
      </c>
    </row>
    <row r="2265" spans="57:58">
      <c r="BE2265" s="19">
        <f t="shared" si="91"/>
        <v>1.5701388888889747</v>
      </c>
      <c r="BF2265" t="e">
        <f t="shared" ca="1" si="90"/>
        <v>#VALUE!</v>
      </c>
    </row>
    <row r="2266" spans="57:58">
      <c r="BE2266" s="19">
        <f t="shared" si="91"/>
        <v>1.5708333333334192</v>
      </c>
      <c r="BF2266" t="e">
        <f t="shared" ca="1" si="90"/>
        <v>#VALUE!</v>
      </c>
    </row>
    <row r="2267" spans="57:58">
      <c r="BE2267" s="19">
        <f t="shared" si="91"/>
        <v>1.5715277777778638</v>
      </c>
      <c r="BF2267" t="e">
        <f t="shared" ca="1" si="90"/>
        <v>#VALUE!</v>
      </c>
    </row>
    <row r="2268" spans="57:58">
      <c r="BE2268" s="19">
        <f t="shared" si="91"/>
        <v>1.5722222222223083</v>
      </c>
      <c r="BF2268" t="e">
        <f t="shared" ca="1" si="90"/>
        <v>#VALUE!</v>
      </c>
    </row>
    <row r="2269" spans="57:58">
      <c r="BE2269" s="19">
        <f t="shared" si="91"/>
        <v>1.5729166666667529</v>
      </c>
      <c r="BF2269" t="e">
        <f t="shared" ca="1" si="90"/>
        <v>#VALUE!</v>
      </c>
    </row>
    <row r="2270" spans="57:58">
      <c r="BE2270" s="19">
        <f t="shared" si="91"/>
        <v>1.5736111111111974</v>
      </c>
      <c r="BF2270" t="e">
        <f t="shared" ca="1" si="90"/>
        <v>#VALUE!</v>
      </c>
    </row>
    <row r="2271" spans="57:58">
      <c r="BE2271" s="19">
        <f t="shared" si="91"/>
        <v>1.574305555555642</v>
      </c>
      <c r="BF2271" t="e">
        <f t="shared" ca="1" si="90"/>
        <v>#VALUE!</v>
      </c>
    </row>
    <row r="2272" spans="57:58">
      <c r="BE2272" s="19">
        <f t="shared" si="91"/>
        <v>1.5750000000000866</v>
      </c>
      <c r="BF2272" t="e">
        <f t="shared" ca="1" si="90"/>
        <v>#VALUE!</v>
      </c>
    </row>
    <row r="2273" spans="57:58">
      <c r="BE2273" s="19">
        <f t="shared" si="91"/>
        <v>1.5756944444445311</v>
      </c>
      <c r="BF2273" t="e">
        <f t="shared" ca="1" si="90"/>
        <v>#VALUE!</v>
      </c>
    </row>
    <row r="2274" spans="57:58">
      <c r="BE2274" s="19">
        <f t="shared" si="91"/>
        <v>1.5763888888889757</v>
      </c>
      <c r="BF2274" t="e">
        <f t="shared" ca="1" si="90"/>
        <v>#VALUE!</v>
      </c>
    </row>
    <row r="2275" spans="57:58">
      <c r="BE2275" s="19">
        <f t="shared" si="91"/>
        <v>1.5770833333334202</v>
      </c>
      <c r="BF2275" t="e">
        <f t="shared" ca="1" si="90"/>
        <v>#VALUE!</v>
      </c>
    </row>
    <row r="2276" spans="57:58">
      <c r="BE2276" s="19">
        <f t="shared" si="91"/>
        <v>1.5777777777778648</v>
      </c>
      <c r="BF2276" t="e">
        <f t="shared" ref="BF2276:BF2339" ca="1" si="92">IF(BE2276&lt;$B$5-1/1440,0,OFFSET($N$4,(BE2276-$B$4)*1440,0,1,1))</f>
        <v>#VALUE!</v>
      </c>
    </row>
    <row r="2277" spans="57:58">
      <c r="BE2277" s="19">
        <f t="shared" si="91"/>
        <v>1.5784722222223093</v>
      </c>
      <c r="BF2277" t="e">
        <f t="shared" ca="1" si="92"/>
        <v>#VALUE!</v>
      </c>
    </row>
    <row r="2278" spans="57:58">
      <c r="BE2278" s="19">
        <f t="shared" si="91"/>
        <v>1.5791666666667539</v>
      </c>
      <c r="BF2278" t="e">
        <f t="shared" ca="1" si="92"/>
        <v>#VALUE!</v>
      </c>
    </row>
    <row r="2279" spans="57:58">
      <c r="BE2279" s="19">
        <f t="shared" si="91"/>
        <v>1.5798611111111984</v>
      </c>
      <c r="BF2279" t="e">
        <f t="shared" ca="1" si="92"/>
        <v>#VALUE!</v>
      </c>
    </row>
    <row r="2280" spans="57:58">
      <c r="BE2280" s="19">
        <f t="shared" si="91"/>
        <v>1.580555555555643</v>
      </c>
      <c r="BF2280" t="e">
        <f t="shared" ca="1" si="92"/>
        <v>#VALUE!</v>
      </c>
    </row>
    <row r="2281" spans="57:58">
      <c r="BE2281" s="19">
        <f t="shared" si="91"/>
        <v>1.5812500000000875</v>
      </c>
      <c r="BF2281" t="e">
        <f t="shared" ca="1" si="92"/>
        <v>#VALUE!</v>
      </c>
    </row>
    <row r="2282" spans="57:58">
      <c r="BE2282" s="19">
        <f t="shared" si="91"/>
        <v>1.5819444444445321</v>
      </c>
      <c r="BF2282" t="e">
        <f t="shared" ca="1" si="92"/>
        <v>#VALUE!</v>
      </c>
    </row>
    <row r="2283" spans="57:58">
      <c r="BE2283" s="19">
        <f t="shared" si="91"/>
        <v>1.5826388888889766</v>
      </c>
      <c r="BF2283" t="e">
        <f t="shared" ca="1" si="92"/>
        <v>#VALUE!</v>
      </c>
    </row>
    <row r="2284" spans="57:58">
      <c r="BE2284" s="19">
        <f t="shared" si="91"/>
        <v>1.5833333333334212</v>
      </c>
      <c r="BF2284" t="e">
        <f t="shared" ca="1" si="92"/>
        <v>#VALUE!</v>
      </c>
    </row>
    <row r="2285" spans="57:58">
      <c r="BE2285" s="19">
        <f t="shared" si="91"/>
        <v>1.5840277777778657</v>
      </c>
      <c r="BF2285" t="e">
        <f t="shared" ca="1" si="92"/>
        <v>#VALUE!</v>
      </c>
    </row>
    <row r="2286" spans="57:58">
      <c r="BE2286" s="19">
        <f t="shared" si="91"/>
        <v>1.5847222222223103</v>
      </c>
      <c r="BF2286" t="e">
        <f t="shared" ca="1" si="92"/>
        <v>#VALUE!</v>
      </c>
    </row>
    <row r="2287" spans="57:58">
      <c r="BE2287" s="19">
        <f t="shared" si="91"/>
        <v>1.5854166666667548</v>
      </c>
      <c r="BF2287" t="e">
        <f t="shared" ca="1" si="92"/>
        <v>#VALUE!</v>
      </c>
    </row>
    <row r="2288" spans="57:58">
      <c r="BE2288" s="19">
        <f t="shared" si="91"/>
        <v>1.5861111111111994</v>
      </c>
      <c r="BF2288" t="e">
        <f t="shared" ca="1" si="92"/>
        <v>#VALUE!</v>
      </c>
    </row>
    <row r="2289" spans="57:58">
      <c r="BE2289" s="19">
        <f t="shared" si="91"/>
        <v>1.586805555555644</v>
      </c>
      <c r="BF2289" t="e">
        <f t="shared" ca="1" si="92"/>
        <v>#VALUE!</v>
      </c>
    </row>
    <row r="2290" spans="57:58">
      <c r="BE2290" s="19">
        <f t="shared" si="91"/>
        <v>1.5875000000000885</v>
      </c>
      <c r="BF2290" t="e">
        <f t="shared" ca="1" si="92"/>
        <v>#VALUE!</v>
      </c>
    </row>
    <row r="2291" spans="57:58">
      <c r="BE2291" s="19">
        <f t="shared" si="91"/>
        <v>1.5881944444445331</v>
      </c>
      <c r="BF2291" t="e">
        <f t="shared" ca="1" si="92"/>
        <v>#VALUE!</v>
      </c>
    </row>
    <row r="2292" spans="57:58">
      <c r="BE2292" s="19">
        <f t="shared" si="91"/>
        <v>1.5888888888889776</v>
      </c>
      <c r="BF2292" t="e">
        <f t="shared" ca="1" si="92"/>
        <v>#VALUE!</v>
      </c>
    </row>
    <row r="2293" spans="57:58">
      <c r="BE2293" s="19">
        <f t="shared" si="91"/>
        <v>1.5895833333334222</v>
      </c>
      <c r="BF2293" t="e">
        <f t="shared" ca="1" si="92"/>
        <v>#VALUE!</v>
      </c>
    </row>
    <row r="2294" spans="57:58">
      <c r="BE2294" s="19">
        <f t="shared" si="91"/>
        <v>1.5902777777778667</v>
      </c>
      <c r="BF2294" t="e">
        <f t="shared" ca="1" si="92"/>
        <v>#VALUE!</v>
      </c>
    </row>
    <row r="2295" spans="57:58">
      <c r="BE2295" s="19">
        <f t="shared" si="91"/>
        <v>1.5909722222223113</v>
      </c>
      <c r="BF2295" t="e">
        <f t="shared" ca="1" si="92"/>
        <v>#VALUE!</v>
      </c>
    </row>
    <row r="2296" spans="57:58">
      <c r="BE2296" s="19">
        <f t="shared" si="91"/>
        <v>1.5916666666667558</v>
      </c>
      <c r="BF2296" t="e">
        <f t="shared" ca="1" si="92"/>
        <v>#VALUE!</v>
      </c>
    </row>
    <row r="2297" spans="57:58">
      <c r="BE2297" s="19">
        <f t="shared" si="91"/>
        <v>1.5923611111112004</v>
      </c>
      <c r="BF2297" t="e">
        <f t="shared" ca="1" si="92"/>
        <v>#VALUE!</v>
      </c>
    </row>
    <row r="2298" spans="57:58">
      <c r="BE2298" s="19">
        <f t="shared" si="91"/>
        <v>1.5930555555556449</v>
      </c>
      <c r="BF2298" t="e">
        <f t="shared" ca="1" si="92"/>
        <v>#VALUE!</v>
      </c>
    </row>
    <row r="2299" spans="57:58">
      <c r="BE2299" s="19">
        <f t="shared" si="91"/>
        <v>1.5937500000000895</v>
      </c>
      <c r="BF2299" t="e">
        <f t="shared" ca="1" si="92"/>
        <v>#VALUE!</v>
      </c>
    </row>
    <row r="2300" spans="57:58">
      <c r="BE2300" s="19">
        <f t="shared" si="91"/>
        <v>1.594444444444534</v>
      </c>
      <c r="BF2300" t="e">
        <f t="shared" ca="1" si="92"/>
        <v>#VALUE!</v>
      </c>
    </row>
    <row r="2301" spans="57:58">
      <c r="BE2301" s="19">
        <f t="shared" si="91"/>
        <v>1.5951388888889786</v>
      </c>
      <c r="BF2301" t="e">
        <f t="shared" ca="1" si="92"/>
        <v>#VALUE!</v>
      </c>
    </row>
    <row r="2302" spans="57:58">
      <c r="BE2302" s="19">
        <f t="shared" si="91"/>
        <v>1.5958333333334231</v>
      </c>
      <c r="BF2302" t="e">
        <f t="shared" ca="1" si="92"/>
        <v>#VALUE!</v>
      </c>
    </row>
    <row r="2303" spans="57:58">
      <c r="BE2303" s="19">
        <f t="shared" si="91"/>
        <v>1.5965277777778677</v>
      </c>
      <c r="BF2303" t="e">
        <f t="shared" ca="1" si="92"/>
        <v>#VALUE!</v>
      </c>
    </row>
    <row r="2304" spans="57:58">
      <c r="BE2304" s="19">
        <f t="shared" si="91"/>
        <v>1.5972222222223122</v>
      </c>
      <c r="BF2304" t="e">
        <f t="shared" ca="1" si="92"/>
        <v>#VALUE!</v>
      </c>
    </row>
    <row r="2305" spans="57:58">
      <c r="BE2305" s="19">
        <f t="shared" si="91"/>
        <v>1.5979166666667568</v>
      </c>
      <c r="BF2305" t="e">
        <f t="shared" ca="1" si="92"/>
        <v>#VALUE!</v>
      </c>
    </row>
    <row r="2306" spans="57:58">
      <c r="BE2306" s="19">
        <f t="shared" si="91"/>
        <v>1.5986111111112014</v>
      </c>
      <c r="BF2306" t="e">
        <f t="shared" ca="1" si="92"/>
        <v>#VALUE!</v>
      </c>
    </row>
    <row r="2307" spans="57:58">
      <c r="BE2307" s="19">
        <f t="shared" si="91"/>
        <v>1.5993055555556459</v>
      </c>
      <c r="BF2307" t="e">
        <f t="shared" ca="1" si="92"/>
        <v>#VALUE!</v>
      </c>
    </row>
    <row r="2308" spans="57:58">
      <c r="BE2308" s="19">
        <f t="shared" si="91"/>
        <v>1.6000000000000905</v>
      </c>
      <c r="BF2308" t="e">
        <f t="shared" ca="1" si="92"/>
        <v>#VALUE!</v>
      </c>
    </row>
    <row r="2309" spans="57:58">
      <c r="BE2309" s="19">
        <f t="shared" si="91"/>
        <v>1.600694444444535</v>
      </c>
      <c r="BF2309" t="e">
        <f t="shared" ca="1" si="92"/>
        <v>#VALUE!</v>
      </c>
    </row>
    <row r="2310" spans="57:58">
      <c r="BE2310" s="19">
        <f t="shared" ref="BE2310:BE2373" si="93">BE2309+1/1440</f>
        <v>1.6013888888889796</v>
      </c>
      <c r="BF2310" t="e">
        <f t="shared" ca="1" si="92"/>
        <v>#VALUE!</v>
      </c>
    </row>
    <row r="2311" spans="57:58">
      <c r="BE2311" s="19">
        <f t="shared" si="93"/>
        <v>1.6020833333334241</v>
      </c>
      <c r="BF2311" t="e">
        <f t="shared" ca="1" si="92"/>
        <v>#VALUE!</v>
      </c>
    </row>
    <row r="2312" spans="57:58">
      <c r="BE2312" s="19">
        <f t="shared" si="93"/>
        <v>1.6027777777778687</v>
      </c>
      <c r="BF2312" t="e">
        <f t="shared" ca="1" si="92"/>
        <v>#VALUE!</v>
      </c>
    </row>
    <row r="2313" spans="57:58">
      <c r="BE2313" s="19">
        <f t="shared" si="93"/>
        <v>1.6034722222223132</v>
      </c>
      <c r="BF2313" t="e">
        <f t="shared" ca="1" si="92"/>
        <v>#VALUE!</v>
      </c>
    </row>
    <row r="2314" spans="57:58">
      <c r="BE2314" s="19">
        <f t="shared" si="93"/>
        <v>1.6041666666667578</v>
      </c>
      <c r="BF2314" t="e">
        <f t="shared" ca="1" si="92"/>
        <v>#VALUE!</v>
      </c>
    </row>
    <row r="2315" spans="57:58">
      <c r="BE2315" s="19">
        <f t="shared" si="93"/>
        <v>1.6048611111112023</v>
      </c>
      <c r="BF2315" t="e">
        <f t="shared" ca="1" si="92"/>
        <v>#VALUE!</v>
      </c>
    </row>
    <row r="2316" spans="57:58">
      <c r="BE2316" s="19">
        <f t="shared" si="93"/>
        <v>1.6055555555556469</v>
      </c>
      <c r="BF2316" t="e">
        <f t="shared" ca="1" si="92"/>
        <v>#VALUE!</v>
      </c>
    </row>
    <row r="2317" spans="57:58">
      <c r="BE2317" s="19">
        <f t="shared" si="93"/>
        <v>1.6062500000000914</v>
      </c>
      <c r="BF2317" t="e">
        <f t="shared" ca="1" si="92"/>
        <v>#VALUE!</v>
      </c>
    </row>
    <row r="2318" spans="57:58">
      <c r="BE2318" s="19">
        <f t="shared" si="93"/>
        <v>1.606944444444536</v>
      </c>
      <c r="BF2318" t="e">
        <f t="shared" ca="1" si="92"/>
        <v>#VALUE!</v>
      </c>
    </row>
    <row r="2319" spans="57:58">
      <c r="BE2319" s="19">
        <f t="shared" si="93"/>
        <v>1.6076388888889805</v>
      </c>
      <c r="BF2319" t="e">
        <f t="shared" ca="1" si="92"/>
        <v>#VALUE!</v>
      </c>
    </row>
    <row r="2320" spans="57:58">
      <c r="BE2320" s="19">
        <f t="shared" si="93"/>
        <v>1.6083333333334251</v>
      </c>
      <c r="BF2320" t="e">
        <f t="shared" ca="1" si="92"/>
        <v>#VALUE!</v>
      </c>
    </row>
    <row r="2321" spans="57:58">
      <c r="BE2321" s="19">
        <f t="shared" si="93"/>
        <v>1.6090277777778696</v>
      </c>
      <c r="BF2321" t="e">
        <f t="shared" ca="1" si="92"/>
        <v>#VALUE!</v>
      </c>
    </row>
    <row r="2322" spans="57:58">
      <c r="BE2322" s="19">
        <f t="shared" si="93"/>
        <v>1.6097222222223142</v>
      </c>
      <c r="BF2322" t="e">
        <f t="shared" ca="1" si="92"/>
        <v>#VALUE!</v>
      </c>
    </row>
    <row r="2323" spans="57:58">
      <c r="BE2323" s="19">
        <f t="shared" si="93"/>
        <v>1.6104166666667588</v>
      </c>
      <c r="BF2323" t="e">
        <f t="shared" ca="1" si="92"/>
        <v>#VALUE!</v>
      </c>
    </row>
    <row r="2324" spans="57:58">
      <c r="BE2324" s="19">
        <f t="shared" si="93"/>
        <v>1.6111111111112033</v>
      </c>
      <c r="BF2324" t="e">
        <f t="shared" ca="1" si="92"/>
        <v>#VALUE!</v>
      </c>
    </row>
    <row r="2325" spans="57:58">
      <c r="BE2325" s="19">
        <f t="shared" si="93"/>
        <v>1.6118055555556479</v>
      </c>
      <c r="BF2325" t="e">
        <f t="shared" ca="1" si="92"/>
        <v>#VALUE!</v>
      </c>
    </row>
    <row r="2326" spans="57:58">
      <c r="BE2326" s="19">
        <f t="shared" si="93"/>
        <v>1.6125000000000924</v>
      </c>
      <c r="BF2326" t="e">
        <f t="shared" ca="1" si="92"/>
        <v>#VALUE!</v>
      </c>
    </row>
    <row r="2327" spans="57:58">
      <c r="BE2327" s="19">
        <f t="shared" si="93"/>
        <v>1.613194444444537</v>
      </c>
      <c r="BF2327" t="e">
        <f t="shared" ca="1" si="92"/>
        <v>#VALUE!</v>
      </c>
    </row>
    <row r="2328" spans="57:58">
      <c r="BE2328" s="19">
        <f t="shared" si="93"/>
        <v>1.6138888888889815</v>
      </c>
      <c r="BF2328" t="e">
        <f t="shared" ca="1" si="92"/>
        <v>#VALUE!</v>
      </c>
    </row>
    <row r="2329" spans="57:58">
      <c r="BE2329" s="19">
        <f t="shared" si="93"/>
        <v>1.6145833333334261</v>
      </c>
      <c r="BF2329" t="e">
        <f t="shared" ca="1" si="92"/>
        <v>#VALUE!</v>
      </c>
    </row>
    <row r="2330" spans="57:58">
      <c r="BE2330" s="19">
        <f t="shared" si="93"/>
        <v>1.6152777777778706</v>
      </c>
      <c r="BF2330" t="e">
        <f t="shared" ca="1" si="92"/>
        <v>#VALUE!</v>
      </c>
    </row>
    <row r="2331" spans="57:58">
      <c r="BE2331" s="19">
        <f t="shared" si="93"/>
        <v>1.6159722222223152</v>
      </c>
      <c r="BF2331" t="e">
        <f t="shared" ca="1" si="92"/>
        <v>#VALUE!</v>
      </c>
    </row>
    <row r="2332" spans="57:58">
      <c r="BE2332" s="19">
        <f t="shared" si="93"/>
        <v>1.6166666666667597</v>
      </c>
      <c r="BF2332" t="e">
        <f t="shared" ca="1" si="92"/>
        <v>#VALUE!</v>
      </c>
    </row>
    <row r="2333" spans="57:58">
      <c r="BE2333" s="19">
        <f t="shared" si="93"/>
        <v>1.6173611111112043</v>
      </c>
      <c r="BF2333" t="e">
        <f t="shared" ca="1" si="92"/>
        <v>#VALUE!</v>
      </c>
    </row>
    <row r="2334" spans="57:58">
      <c r="BE2334" s="19">
        <f t="shared" si="93"/>
        <v>1.6180555555556488</v>
      </c>
      <c r="BF2334" t="e">
        <f t="shared" ca="1" si="92"/>
        <v>#VALUE!</v>
      </c>
    </row>
    <row r="2335" spans="57:58">
      <c r="BE2335" s="19">
        <f t="shared" si="93"/>
        <v>1.6187500000000934</v>
      </c>
      <c r="BF2335" t="e">
        <f t="shared" ca="1" si="92"/>
        <v>#VALUE!</v>
      </c>
    </row>
    <row r="2336" spans="57:58">
      <c r="BE2336" s="19">
        <f t="shared" si="93"/>
        <v>1.6194444444445379</v>
      </c>
      <c r="BF2336" t="e">
        <f t="shared" ca="1" si="92"/>
        <v>#VALUE!</v>
      </c>
    </row>
    <row r="2337" spans="57:58">
      <c r="BE2337" s="19">
        <f t="shared" si="93"/>
        <v>1.6201388888889825</v>
      </c>
      <c r="BF2337" t="e">
        <f t="shared" ca="1" si="92"/>
        <v>#VALUE!</v>
      </c>
    </row>
    <row r="2338" spans="57:58">
      <c r="BE2338" s="19">
        <f t="shared" si="93"/>
        <v>1.6208333333334271</v>
      </c>
      <c r="BF2338" t="e">
        <f t="shared" ca="1" si="92"/>
        <v>#VALUE!</v>
      </c>
    </row>
    <row r="2339" spans="57:58">
      <c r="BE2339" s="19">
        <f t="shared" si="93"/>
        <v>1.6215277777778716</v>
      </c>
      <c r="BF2339" t="e">
        <f t="shared" ca="1" si="92"/>
        <v>#VALUE!</v>
      </c>
    </row>
    <row r="2340" spans="57:58">
      <c r="BE2340" s="19">
        <f t="shared" si="93"/>
        <v>1.6222222222223162</v>
      </c>
      <c r="BF2340" t="e">
        <f t="shared" ref="BF2340:BF2403" ca="1" si="94">IF(BE2340&lt;$B$5-1/1440,0,OFFSET($N$4,(BE2340-$B$4)*1440,0,1,1))</f>
        <v>#VALUE!</v>
      </c>
    </row>
    <row r="2341" spans="57:58">
      <c r="BE2341" s="19">
        <f t="shared" si="93"/>
        <v>1.6229166666667607</v>
      </c>
      <c r="BF2341" t="e">
        <f t="shared" ca="1" si="94"/>
        <v>#VALUE!</v>
      </c>
    </row>
    <row r="2342" spans="57:58">
      <c r="BE2342" s="19">
        <f t="shared" si="93"/>
        <v>1.6236111111112053</v>
      </c>
      <c r="BF2342" t="e">
        <f t="shared" ca="1" si="94"/>
        <v>#VALUE!</v>
      </c>
    </row>
    <row r="2343" spans="57:58">
      <c r="BE2343" s="19">
        <f t="shared" si="93"/>
        <v>1.6243055555556498</v>
      </c>
      <c r="BF2343" t="e">
        <f t="shared" ca="1" si="94"/>
        <v>#VALUE!</v>
      </c>
    </row>
    <row r="2344" spans="57:58">
      <c r="BE2344" s="19">
        <f t="shared" si="93"/>
        <v>1.6250000000000944</v>
      </c>
      <c r="BF2344" t="e">
        <f t="shared" ca="1" si="94"/>
        <v>#VALUE!</v>
      </c>
    </row>
    <row r="2345" spans="57:58">
      <c r="BE2345" s="19">
        <f t="shared" si="93"/>
        <v>1.6256944444445389</v>
      </c>
      <c r="BF2345" t="e">
        <f t="shared" ca="1" si="94"/>
        <v>#VALUE!</v>
      </c>
    </row>
    <row r="2346" spans="57:58">
      <c r="BE2346" s="19">
        <f t="shared" si="93"/>
        <v>1.6263888888889835</v>
      </c>
      <c r="BF2346" t="e">
        <f t="shared" ca="1" si="94"/>
        <v>#VALUE!</v>
      </c>
    </row>
    <row r="2347" spans="57:58">
      <c r="BE2347" s="19">
        <f t="shared" si="93"/>
        <v>1.627083333333428</v>
      </c>
      <c r="BF2347" t="e">
        <f t="shared" ca="1" si="94"/>
        <v>#VALUE!</v>
      </c>
    </row>
    <row r="2348" spans="57:58">
      <c r="BE2348" s="19">
        <f t="shared" si="93"/>
        <v>1.6277777777778726</v>
      </c>
      <c r="BF2348" t="e">
        <f t="shared" ca="1" si="94"/>
        <v>#VALUE!</v>
      </c>
    </row>
    <row r="2349" spans="57:58">
      <c r="BE2349" s="19">
        <f t="shared" si="93"/>
        <v>1.6284722222223171</v>
      </c>
      <c r="BF2349" t="e">
        <f t="shared" ca="1" si="94"/>
        <v>#VALUE!</v>
      </c>
    </row>
    <row r="2350" spans="57:58">
      <c r="BE2350" s="19">
        <f t="shared" si="93"/>
        <v>1.6291666666667617</v>
      </c>
      <c r="BF2350" t="e">
        <f t="shared" ca="1" si="94"/>
        <v>#VALUE!</v>
      </c>
    </row>
    <row r="2351" spans="57:58">
      <c r="BE2351" s="19">
        <f t="shared" si="93"/>
        <v>1.6298611111112062</v>
      </c>
      <c r="BF2351" t="e">
        <f t="shared" ca="1" si="94"/>
        <v>#VALUE!</v>
      </c>
    </row>
    <row r="2352" spans="57:58">
      <c r="BE2352" s="19">
        <f t="shared" si="93"/>
        <v>1.6305555555556508</v>
      </c>
      <c r="BF2352" t="e">
        <f t="shared" ca="1" si="94"/>
        <v>#VALUE!</v>
      </c>
    </row>
    <row r="2353" spans="57:58">
      <c r="BE2353" s="19">
        <f t="shared" si="93"/>
        <v>1.6312500000000953</v>
      </c>
      <c r="BF2353" t="e">
        <f t="shared" ca="1" si="94"/>
        <v>#VALUE!</v>
      </c>
    </row>
    <row r="2354" spans="57:58">
      <c r="BE2354" s="19">
        <f t="shared" si="93"/>
        <v>1.6319444444445399</v>
      </c>
      <c r="BF2354" t="e">
        <f t="shared" ca="1" si="94"/>
        <v>#VALUE!</v>
      </c>
    </row>
    <row r="2355" spans="57:58">
      <c r="BE2355" s="19">
        <f t="shared" si="93"/>
        <v>1.6326388888889845</v>
      </c>
      <c r="BF2355" t="e">
        <f t="shared" ca="1" si="94"/>
        <v>#VALUE!</v>
      </c>
    </row>
    <row r="2356" spans="57:58">
      <c r="BE2356" s="19">
        <f t="shared" si="93"/>
        <v>1.633333333333429</v>
      </c>
      <c r="BF2356" t="e">
        <f t="shared" ca="1" si="94"/>
        <v>#VALUE!</v>
      </c>
    </row>
    <row r="2357" spans="57:58">
      <c r="BE2357" s="19">
        <f t="shared" si="93"/>
        <v>1.6340277777778736</v>
      </c>
      <c r="BF2357" t="e">
        <f t="shared" ca="1" si="94"/>
        <v>#VALUE!</v>
      </c>
    </row>
    <row r="2358" spans="57:58">
      <c r="BE2358" s="19">
        <f t="shared" si="93"/>
        <v>1.6347222222223181</v>
      </c>
      <c r="BF2358" t="e">
        <f t="shared" ca="1" si="94"/>
        <v>#VALUE!</v>
      </c>
    </row>
    <row r="2359" spans="57:58">
      <c r="BE2359" s="19">
        <f t="shared" si="93"/>
        <v>1.6354166666667627</v>
      </c>
      <c r="BF2359" t="e">
        <f t="shared" ca="1" si="94"/>
        <v>#VALUE!</v>
      </c>
    </row>
    <row r="2360" spans="57:58">
      <c r="BE2360" s="19">
        <f t="shared" si="93"/>
        <v>1.6361111111112072</v>
      </c>
      <c r="BF2360" t="e">
        <f t="shared" ca="1" si="94"/>
        <v>#VALUE!</v>
      </c>
    </row>
    <row r="2361" spans="57:58">
      <c r="BE2361" s="19">
        <f t="shared" si="93"/>
        <v>1.6368055555556518</v>
      </c>
      <c r="BF2361" t="e">
        <f t="shared" ca="1" si="94"/>
        <v>#VALUE!</v>
      </c>
    </row>
    <row r="2362" spans="57:58">
      <c r="BE2362" s="19">
        <f t="shared" si="93"/>
        <v>1.6375000000000963</v>
      </c>
      <c r="BF2362" t="e">
        <f t="shared" ca="1" si="94"/>
        <v>#VALUE!</v>
      </c>
    </row>
    <row r="2363" spans="57:58">
      <c r="BE2363" s="19">
        <f t="shared" si="93"/>
        <v>1.6381944444445409</v>
      </c>
      <c r="BF2363" t="e">
        <f t="shared" ca="1" si="94"/>
        <v>#VALUE!</v>
      </c>
    </row>
    <row r="2364" spans="57:58">
      <c r="BE2364" s="19">
        <f t="shared" si="93"/>
        <v>1.6388888888889854</v>
      </c>
      <c r="BF2364" t="e">
        <f t="shared" ca="1" si="94"/>
        <v>#VALUE!</v>
      </c>
    </row>
    <row r="2365" spans="57:58">
      <c r="BE2365" s="19">
        <f t="shared" si="93"/>
        <v>1.63958333333343</v>
      </c>
      <c r="BF2365" t="e">
        <f t="shared" ca="1" si="94"/>
        <v>#VALUE!</v>
      </c>
    </row>
    <row r="2366" spans="57:58">
      <c r="BE2366" s="19">
        <f t="shared" si="93"/>
        <v>1.6402777777778745</v>
      </c>
      <c r="BF2366" t="e">
        <f t="shared" ca="1" si="94"/>
        <v>#VALUE!</v>
      </c>
    </row>
    <row r="2367" spans="57:58">
      <c r="BE2367" s="19">
        <f t="shared" si="93"/>
        <v>1.6409722222223191</v>
      </c>
      <c r="BF2367" t="e">
        <f t="shared" ca="1" si="94"/>
        <v>#VALUE!</v>
      </c>
    </row>
    <row r="2368" spans="57:58">
      <c r="BE2368" s="19">
        <f t="shared" si="93"/>
        <v>1.6416666666667636</v>
      </c>
      <c r="BF2368" t="e">
        <f t="shared" ca="1" si="94"/>
        <v>#VALUE!</v>
      </c>
    </row>
    <row r="2369" spans="57:58">
      <c r="BE2369" s="19">
        <f t="shared" si="93"/>
        <v>1.6423611111112082</v>
      </c>
      <c r="BF2369" t="e">
        <f t="shared" ca="1" si="94"/>
        <v>#VALUE!</v>
      </c>
    </row>
    <row r="2370" spans="57:58">
      <c r="BE2370" s="19">
        <f t="shared" si="93"/>
        <v>1.6430555555556527</v>
      </c>
      <c r="BF2370" t="e">
        <f t="shared" ca="1" si="94"/>
        <v>#VALUE!</v>
      </c>
    </row>
    <row r="2371" spans="57:58">
      <c r="BE2371" s="19">
        <f t="shared" si="93"/>
        <v>1.6437500000000973</v>
      </c>
      <c r="BF2371" t="e">
        <f t="shared" ca="1" si="94"/>
        <v>#VALUE!</v>
      </c>
    </row>
    <row r="2372" spans="57:58">
      <c r="BE2372" s="19">
        <f t="shared" si="93"/>
        <v>1.6444444444445419</v>
      </c>
      <c r="BF2372" t="e">
        <f t="shared" ca="1" si="94"/>
        <v>#VALUE!</v>
      </c>
    </row>
    <row r="2373" spans="57:58">
      <c r="BE2373" s="19">
        <f t="shared" si="93"/>
        <v>1.6451388888889864</v>
      </c>
      <c r="BF2373" t="e">
        <f t="shared" ca="1" si="94"/>
        <v>#VALUE!</v>
      </c>
    </row>
    <row r="2374" spans="57:58">
      <c r="BE2374" s="19">
        <f t="shared" ref="BE2374:BE2437" si="95">BE2373+1/1440</f>
        <v>1.645833333333431</v>
      </c>
      <c r="BF2374" t="e">
        <f t="shared" ca="1" si="94"/>
        <v>#VALUE!</v>
      </c>
    </row>
    <row r="2375" spans="57:58">
      <c r="BE2375" s="19">
        <f t="shared" si="95"/>
        <v>1.6465277777778755</v>
      </c>
      <c r="BF2375" t="e">
        <f t="shared" ca="1" si="94"/>
        <v>#VALUE!</v>
      </c>
    </row>
    <row r="2376" spans="57:58">
      <c r="BE2376" s="19">
        <f t="shared" si="95"/>
        <v>1.6472222222223201</v>
      </c>
      <c r="BF2376" t="e">
        <f t="shared" ca="1" si="94"/>
        <v>#VALUE!</v>
      </c>
    </row>
    <row r="2377" spans="57:58">
      <c r="BE2377" s="19">
        <f t="shared" si="95"/>
        <v>1.6479166666667646</v>
      </c>
      <c r="BF2377" t="e">
        <f t="shared" ca="1" si="94"/>
        <v>#VALUE!</v>
      </c>
    </row>
    <row r="2378" spans="57:58">
      <c r="BE2378" s="19">
        <f t="shared" si="95"/>
        <v>1.6486111111112092</v>
      </c>
      <c r="BF2378" t="e">
        <f t="shared" ca="1" si="94"/>
        <v>#VALUE!</v>
      </c>
    </row>
    <row r="2379" spans="57:58">
      <c r="BE2379" s="19">
        <f t="shared" si="95"/>
        <v>1.6493055555556537</v>
      </c>
      <c r="BF2379" t="e">
        <f t="shared" ca="1" si="94"/>
        <v>#VALUE!</v>
      </c>
    </row>
    <row r="2380" spans="57:58">
      <c r="BE2380" s="19">
        <f t="shared" si="95"/>
        <v>1.6500000000000983</v>
      </c>
      <c r="BF2380" t="e">
        <f t="shared" ca="1" si="94"/>
        <v>#VALUE!</v>
      </c>
    </row>
    <row r="2381" spans="57:58">
      <c r="BE2381" s="19">
        <f t="shared" si="95"/>
        <v>1.6506944444445428</v>
      </c>
      <c r="BF2381" t="e">
        <f t="shared" ca="1" si="94"/>
        <v>#VALUE!</v>
      </c>
    </row>
    <row r="2382" spans="57:58">
      <c r="BE2382" s="19">
        <f t="shared" si="95"/>
        <v>1.6513888888889874</v>
      </c>
      <c r="BF2382" t="e">
        <f t="shared" ca="1" si="94"/>
        <v>#VALUE!</v>
      </c>
    </row>
    <row r="2383" spans="57:58">
      <c r="BE2383" s="19">
        <f t="shared" si="95"/>
        <v>1.6520833333334319</v>
      </c>
      <c r="BF2383" t="e">
        <f t="shared" ca="1" si="94"/>
        <v>#VALUE!</v>
      </c>
    </row>
    <row r="2384" spans="57:58">
      <c r="BE2384" s="19">
        <f t="shared" si="95"/>
        <v>1.6527777777778765</v>
      </c>
      <c r="BF2384" t="e">
        <f t="shared" ca="1" si="94"/>
        <v>#VALUE!</v>
      </c>
    </row>
    <row r="2385" spans="57:58">
      <c r="BE2385" s="19">
        <f t="shared" si="95"/>
        <v>1.653472222222321</v>
      </c>
      <c r="BF2385" t="e">
        <f t="shared" ca="1" si="94"/>
        <v>#VALUE!</v>
      </c>
    </row>
    <row r="2386" spans="57:58">
      <c r="BE2386" s="19">
        <f t="shared" si="95"/>
        <v>1.6541666666667656</v>
      </c>
      <c r="BF2386" t="e">
        <f t="shared" ca="1" si="94"/>
        <v>#VALUE!</v>
      </c>
    </row>
    <row r="2387" spans="57:58">
      <c r="BE2387" s="19">
        <f t="shared" si="95"/>
        <v>1.6548611111112101</v>
      </c>
      <c r="BF2387" t="e">
        <f t="shared" ca="1" si="94"/>
        <v>#VALUE!</v>
      </c>
    </row>
    <row r="2388" spans="57:58">
      <c r="BE2388" s="19">
        <f t="shared" si="95"/>
        <v>1.6555555555556547</v>
      </c>
      <c r="BF2388" t="e">
        <f t="shared" ca="1" si="94"/>
        <v>#VALUE!</v>
      </c>
    </row>
    <row r="2389" spans="57:58">
      <c r="BE2389" s="19">
        <f t="shared" si="95"/>
        <v>1.6562500000000993</v>
      </c>
      <c r="BF2389" t="e">
        <f t="shared" ca="1" si="94"/>
        <v>#VALUE!</v>
      </c>
    </row>
    <row r="2390" spans="57:58">
      <c r="BE2390" s="19">
        <f t="shared" si="95"/>
        <v>1.6569444444445438</v>
      </c>
      <c r="BF2390" t="e">
        <f t="shared" ca="1" si="94"/>
        <v>#VALUE!</v>
      </c>
    </row>
    <row r="2391" spans="57:58">
      <c r="BE2391" s="19">
        <f t="shared" si="95"/>
        <v>1.6576388888889884</v>
      </c>
      <c r="BF2391" t="e">
        <f t="shared" ca="1" si="94"/>
        <v>#VALUE!</v>
      </c>
    </row>
    <row r="2392" spans="57:58">
      <c r="BE2392" s="19">
        <f t="shared" si="95"/>
        <v>1.6583333333334329</v>
      </c>
      <c r="BF2392" t="e">
        <f t="shared" ca="1" si="94"/>
        <v>#VALUE!</v>
      </c>
    </row>
    <row r="2393" spans="57:58">
      <c r="BE2393" s="19">
        <f t="shared" si="95"/>
        <v>1.6590277777778775</v>
      </c>
      <c r="BF2393" t="e">
        <f t="shared" ca="1" si="94"/>
        <v>#VALUE!</v>
      </c>
    </row>
    <row r="2394" spans="57:58">
      <c r="BE2394" s="19">
        <f t="shared" si="95"/>
        <v>1.659722222222322</v>
      </c>
      <c r="BF2394" t="e">
        <f t="shared" ca="1" si="94"/>
        <v>#VALUE!</v>
      </c>
    </row>
    <row r="2395" spans="57:58">
      <c r="BE2395" s="19">
        <f t="shared" si="95"/>
        <v>1.6604166666667666</v>
      </c>
      <c r="BF2395" t="e">
        <f t="shared" ca="1" si="94"/>
        <v>#VALUE!</v>
      </c>
    </row>
    <row r="2396" spans="57:58">
      <c r="BE2396" s="19">
        <f t="shared" si="95"/>
        <v>1.6611111111112111</v>
      </c>
      <c r="BF2396" t="e">
        <f t="shared" ca="1" si="94"/>
        <v>#VALUE!</v>
      </c>
    </row>
    <row r="2397" spans="57:58">
      <c r="BE2397" s="19">
        <f t="shared" si="95"/>
        <v>1.6618055555556557</v>
      </c>
      <c r="BF2397" t="e">
        <f t="shared" ca="1" si="94"/>
        <v>#VALUE!</v>
      </c>
    </row>
    <row r="2398" spans="57:58">
      <c r="BE2398" s="19">
        <f t="shared" si="95"/>
        <v>1.6625000000001002</v>
      </c>
      <c r="BF2398" t="e">
        <f t="shared" ca="1" si="94"/>
        <v>#VALUE!</v>
      </c>
    </row>
    <row r="2399" spans="57:58">
      <c r="BE2399" s="19">
        <f t="shared" si="95"/>
        <v>1.6631944444445448</v>
      </c>
      <c r="BF2399" t="e">
        <f t="shared" ca="1" si="94"/>
        <v>#VALUE!</v>
      </c>
    </row>
    <row r="2400" spans="57:58">
      <c r="BE2400" s="19">
        <f t="shared" si="95"/>
        <v>1.6638888888889893</v>
      </c>
      <c r="BF2400" t="e">
        <f t="shared" ca="1" si="94"/>
        <v>#VALUE!</v>
      </c>
    </row>
    <row r="2401" spans="57:58">
      <c r="BE2401" s="19">
        <f t="shared" si="95"/>
        <v>1.6645833333334339</v>
      </c>
      <c r="BF2401" t="e">
        <f t="shared" ca="1" si="94"/>
        <v>#VALUE!</v>
      </c>
    </row>
    <row r="2402" spans="57:58">
      <c r="BE2402" s="19">
        <f t="shared" si="95"/>
        <v>1.6652777777778784</v>
      </c>
      <c r="BF2402" t="e">
        <f t="shared" ca="1" si="94"/>
        <v>#VALUE!</v>
      </c>
    </row>
    <row r="2403" spans="57:58">
      <c r="BE2403" s="19">
        <f t="shared" si="95"/>
        <v>1.665972222222323</v>
      </c>
      <c r="BF2403" t="e">
        <f t="shared" ca="1" si="94"/>
        <v>#VALUE!</v>
      </c>
    </row>
    <row r="2404" spans="57:58">
      <c r="BE2404" s="19">
        <f t="shared" si="95"/>
        <v>1.6666666666667675</v>
      </c>
      <c r="BF2404" t="e">
        <f t="shared" ref="BF2404:BF2467" ca="1" si="96">IF(BE2404&lt;$B$5-1/1440,0,OFFSET($N$4,(BE2404-$B$4)*1440,0,1,1))</f>
        <v>#VALUE!</v>
      </c>
    </row>
    <row r="2405" spans="57:58">
      <c r="BE2405" s="19">
        <f t="shared" si="95"/>
        <v>1.6673611111112121</v>
      </c>
      <c r="BF2405" t="e">
        <f t="shared" ca="1" si="96"/>
        <v>#VALUE!</v>
      </c>
    </row>
    <row r="2406" spans="57:58">
      <c r="BE2406" s="19">
        <f t="shared" si="95"/>
        <v>1.6680555555556567</v>
      </c>
      <c r="BF2406" t="e">
        <f t="shared" ca="1" si="96"/>
        <v>#VALUE!</v>
      </c>
    </row>
    <row r="2407" spans="57:58">
      <c r="BE2407" s="19">
        <f t="shared" si="95"/>
        <v>1.6687500000001012</v>
      </c>
      <c r="BF2407" t="e">
        <f t="shared" ca="1" si="96"/>
        <v>#VALUE!</v>
      </c>
    </row>
    <row r="2408" spans="57:58">
      <c r="BE2408" s="19">
        <f t="shared" si="95"/>
        <v>1.6694444444445458</v>
      </c>
      <c r="BF2408" t="e">
        <f t="shared" ca="1" si="96"/>
        <v>#VALUE!</v>
      </c>
    </row>
    <row r="2409" spans="57:58">
      <c r="BE2409" s="19">
        <f t="shared" si="95"/>
        <v>1.6701388888889903</v>
      </c>
      <c r="BF2409" t="e">
        <f t="shared" ca="1" si="96"/>
        <v>#VALUE!</v>
      </c>
    </row>
    <row r="2410" spans="57:58">
      <c r="BE2410" s="19">
        <f t="shared" si="95"/>
        <v>1.6708333333334349</v>
      </c>
      <c r="BF2410" t="e">
        <f t="shared" ca="1" si="96"/>
        <v>#VALUE!</v>
      </c>
    </row>
    <row r="2411" spans="57:58">
      <c r="BE2411" s="19">
        <f t="shared" si="95"/>
        <v>1.6715277777778794</v>
      </c>
      <c r="BF2411" t="e">
        <f t="shared" ca="1" si="96"/>
        <v>#VALUE!</v>
      </c>
    </row>
    <row r="2412" spans="57:58">
      <c r="BE2412" s="19">
        <f t="shared" si="95"/>
        <v>1.672222222222324</v>
      </c>
      <c r="BF2412" t="e">
        <f t="shared" ca="1" si="96"/>
        <v>#VALUE!</v>
      </c>
    </row>
    <row r="2413" spans="57:58">
      <c r="BE2413" s="19">
        <f t="shared" si="95"/>
        <v>1.6729166666667685</v>
      </c>
      <c r="BF2413" t="e">
        <f t="shared" ca="1" si="96"/>
        <v>#VALUE!</v>
      </c>
    </row>
    <row r="2414" spans="57:58">
      <c r="BE2414" s="19">
        <f t="shared" si="95"/>
        <v>1.6736111111112131</v>
      </c>
      <c r="BF2414" t="e">
        <f t="shared" ca="1" si="96"/>
        <v>#VALUE!</v>
      </c>
    </row>
    <row r="2415" spans="57:58">
      <c r="BE2415" s="19">
        <f t="shared" si="95"/>
        <v>1.6743055555556576</v>
      </c>
      <c r="BF2415" t="e">
        <f t="shared" ca="1" si="96"/>
        <v>#VALUE!</v>
      </c>
    </row>
    <row r="2416" spans="57:58">
      <c r="BE2416" s="19">
        <f t="shared" si="95"/>
        <v>1.6750000000001022</v>
      </c>
      <c r="BF2416" t="e">
        <f t="shared" ca="1" si="96"/>
        <v>#VALUE!</v>
      </c>
    </row>
    <row r="2417" spans="57:58">
      <c r="BE2417" s="19">
        <f t="shared" si="95"/>
        <v>1.6756944444445467</v>
      </c>
      <c r="BF2417" t="e">
        <f t="shared" ca="1" si="96"/>
        <v>#VALUE!</v>
      </c>
    </row>
    <row r="2418" spans="57:58">
      <c r="BE2418" s="19">
        <f t="shared" si="95"/>
        <v>1.6763888888889913</v>
      </c>
      <c r="BF2418" t="e">
        <f t="shared" ca="1" si="96"/>
        <v>#VALUE!</v>
      </c>
    </row>
    <row r="2419" spans="57:58">
      <c r="BE2419" s="19">
        <f t="shared" si="95"/>
        <v>1.6770833333334358</v>
      </c>
      <c r="BF2419" t="e">
        <f t="shared" ca="1" si="96"/>
        <v>#VALUE!</v>
      </c>
    </row>
    <row r="2420" spans="57:58">
      <c r="BE2420" s="19">
        <f t="shared" si="95"/>
        <v>1.6777777777778804</v>
      </c>
      <c r="BF2420" t="e">
        <f t="shared" ca="1" si="96"/>
        <v>#VALUE!</v>
      </c>
    </row>
    <row r="2421" spans="57:58">
      <c r="BE2421" s="19">
        <f t="shared" si="95"/>
        <v>1.6784722222223249</v>
      </c>
      <c r="BF2421" t="e">
        <f t="shared" ca="1" si="96"/>
        <v>#VALUE!</v>
      </c>
    </row>
    <row r="2422" spans="57:58">
      <c r="BE2422" s="19">
        <f t="shared" si="95"/>
        <v>1.6791666666667695</v>
      </c>
      <c r="BF2422" t="e">
        <f t="shared" ca="1" si="96"/>
        <v>#VALUE!</v>
      </c>
    </row>
    <row r="2423" spans="57:58">
      <c r="BE2423" s="19">
        <f t="shared" si="95"/>
        <v>1.6798611111112141</v>
      </c>
      <c r="BF2423" t="e">
        <f t="shared" ca="1" si="96"/>
        <v>#VALUE!</v>
      </c>
    </row>
    <row r="2424" spans="57:58">
      <c r="BE2424" s="19">
        <f t="shared" si="95"/>
        <v>1.6805555555556586</v>
      </c>
      <c r="BF2424" t="e">
        <f t="shared" ca="1" si="96"/>
        <v>#VALUE!</v>
      </c>
    </row>
    <row r="2425" spans="57:58">
      <c r="BE2425" s="19">
        <f t="shared" si="95"/>
        <v>1.6812500000001032</v>
      </c>
      <c r="BF2425" t="e">
        <f t="shared" ca="1" si="96"/>
        <v>#VALUE!</v>
      </c>
    </row>
    <row r="2426" spans="57:58">
      <c r="BE2426" s="19">
        <f t="shared" si="95"/>
        <v>1.6819444444445477</v>
      </c>
      <c r="BF2426" t="e">
        <f t="shared" ca="1" si="96"/>
        <v>#VALUE!</v>
      </c>
    </row>
    <row r="2427" spans="57:58">
      <c r="BE2427" s="19">
        <f t="shared" si="95"/>
        <v>1.6826388888889923</v>
      </c>
      <c r="BF2427" t="e">
        <f t="shared" ca="1" si="96"/>
        <v>#VALUE!</v>
      </c>
    </row>
    <row r="2428" spans="57:58">
      <c r="BE2428" s="19">
        <f t="shared" si="95"/>
        <v>1.6833333333334368</v>
      </c>
      <c r="BF2428" t="e">
        <f t="shared" ca="1" si="96"/>
        <v>#VALUE!</v>
      </c>
    </row>
    <row r="2429" spans="57:58">
      <c r="BE2429" s="19">
        <f t="shared" si="95"/>
        <v>1.6840277777778814</v>
      </c>
      <c r="BF2429" t="e">
        <f t="shared" ca="1" si="96"/>
        <v>#VALUE!</v>
      </c>
    </row>
    <row r="2430" spans="57:58">
      <c r="BE2430" s="19">
        <f t="shared" si="95"/>
        <v>1.6847222222223259</v>
      </c>
      <c r="BF2430" t="e">
        <f t="shared" ca="1" si="96"/>
        <v>#VALUE!</v>
      </c>
    </row>
    <row r="2431" spans="57:58">
      <c r="BE2431" s="19">
        <f t="shared" si="95"/>
        <v>1.6854166666667705</v>
      </c>
      <c r="BF2431" t="e">
        <f t="shared" ca="1" si="96"/>
        <v>#VALUE!</v>
      </c>
    </row>
    <row r="2432" spans="57:58">
      <c r="BE2432" s="19">
        <f t="shared" si="95"/>
        <v>1.686111111111215</v>
      </c>
      <c r="BF2432" t="e">
        <f t="shared" ca="1" si="96"/>
        <v>#VALUE!</v>
      </c>
    </row>
    <row r="2433" spans="57:58">
      <c r="BE2433" s="19">
        <f t="shared" si="95"/>
        <v>1.6868055555556596</v>
      </c>
      <c r="BF2433" t="e">
        <f t="shared" ca="1" si="96"/>
        <v>#VALUE!</v>
      </c>
    </row>
    <row r="2434" spans="57:58">
      <c r="BE2434" s="19">
        <f t="shared" si="95"/>
        <v>1.6875000000001041</v>
      </c>
      <c r="BF2434" t="e">
        <f t="shared" ca="1" si="96"/>
        <v>#VALUE!</v>
      </c>
    </row>
    <row r="2435" spans="57:58">
      <c r="BE2435" s="19">
        <f t="shared" si="95"/>
        <v>1.6881944444445487</v>
      </c>
      <c r="BF2435" t="e">
        <f t="shared" ca="1" si="96"/>
        <v>#VALUE!</v>
      </c>
    </row>
    <row r="2436" spans="57:58">
      <c r="BE2436" s="19">
        <f t="shared" si="95"/>
        <v>1.6888888888889932</v>
      </c>
      <c r="BF2436" t="e">
        <f t="shared" ca="1" si="96"/>
        <v>#VALUE!</v>
      </c>
    </row>
    <row r="2437" spans="57:58">
      <c r="BE2437" s="19">
        <f t="shared" si="95"/>
        <v>1.6895833333334378</v>
      </c>
      <c r="BF2437" t="e">
        <f t="shared" ca="1" si="96"/>
        <v>#VALUE!</v>
      </c>
    </row>
    <row r="2438" spans="57:58">
      <c r="BE2438" s="19">
        <f t="shared" ref="BE2438:BE2501" si="97">BE2437+1/1440</f>
        <v>1.6902777777778824</v>
      </c>
      <c r="BF2438" t="e">
        <f t="shared" ca="1" si="96"/>
        <v>#VALUE!</v>
      </c>
    </row>
    <row r="2439" spans="57:58">
      <c r="BE2439" s="19">
        <f t="shared" si="97"/>
        <v>1.6909722222223269</v>
      </c>
      <c r="BF2439" t="e">
        <f t="shared" ca="1" si="96"/>
        <v>#VALUE!</v>
      </c>
    </row>
    <row r="2440" spans="57:58">
      <c r="BE2440" s="19">
        <f t="shared" si="97"/>
        <v>1.6916666666667715</v>
      </c>
      <c r="BF2440" t="e">
        <f t="shared" ca="1" si="96"/>
        <v>#VALUE!</v>
      </c>
    </row>
    <row r="2441" spans="57:58">
      <c r="BE2441" s="19">
        <f t="shared" si="97"/>
        <v>1.692361111111216</v>
      </c>
      <c r="BF2441" t="e">
        <f t="shared" ca="1" si="96"/>
        <v>#VALUE!</v>
      </c>
    </row>
    <row r="2442" spans="57:58">
      <c r="BE2442" s="19">
        <f t="shared" si="97"/>
        <v>1.6930555555556606</v>
      </c>
      <c r="BF2442" t="e">
        <f t="shared" ca="1" si="96"/>
        <v>#VALUE!</v>
      </c>
    </row>
    <row r="2443" spans="57:58">
      <c r="BE2443" s="19">
        <f t="shared" si="97"/>
        <v>1.6937500000001051</v>
      </c>
      <c r="BF2443" t="e">
        <f t="shared" ca="1" si="96"/>
        <v>#VALUE!</v>
      </c>
    </row>
    <row r="2444" spans="57:58">
      <c r="BE2444" s="19">
        <f t="shared" si="97"/>
        <v>1.6944444444445497</v>
      </c>
      <c r="BF2444" t="e">
        <f t="shared" ca="1" si="96"/>
        <v>#VALUE!</v>
      </c>
    </row>
    <row r="2445" spans="57:58">
      <c r="BE2445" s="19">
        <f t="shared" si="97"/>
        <v>1.6951388888889942</v>
      </c>
      <c r="BF2445" t="e">
        <f t="shared" ca="1" si="96"/>
        <v>#VALUE!</v>
      </c>
    </row>
    <row r="2446" spans="57:58">
      <c r="BE2446" s="19">
        <f t="shared" si="97"/>
        <v>1.6958333333334388</v>
      </c>
      <c r="BF2446" t="e">
        <f t="shared" ca="1" si="96"/>
        <v>#VALUE!</v>
      </c>
    </row>
    <row r="2447" spans="57:58">
      <c r="BE2447" s="19">
        <f t="shared" si="97"/>
        <v>1.6965277777778833</v>
      </c>
      <c r="BF2447" t="e">
        <f t="shared" ca="1" si="96"/>
        <v>#VALUE!</v>
      </c>
    </row>
    <row r="2448" spans="57:58">
      <c r="BE2448" s="19">
        <f t="shared" si="97"/>
        <v>1.6972222222223279</v>
      </c>
      <c r="BF2448" t="e">
        <f t="shared" ca="1" si="96"/>
        <v>#VALUE!</v>
      </c>
    </row>
    <row r="2449" spans="57:58">
      <c r="BE2449" s="19">
        <f t="shared" si="97"/>
        <v>1.6979166666667724</v>
      </c>
      <c r="BF2449" t="e">
        <f t="shared" ca="1" si="96"/>
        <v>#VALUE!</v>
      </c>
    </row>
    <row r="2450" spans="57:58">
      <c r="BE2450" s="19">
        <f t="shared" si="97"/>
        <v>1.698611111111217</v>
      </c>
      <c r="BF2450" t="e">
        <f t="shared" ca="1" si="96"/>
        <v>#VALUE!</v>
      </c>
    </row>
    <row r="2451" spans="57:58">
      <c r="BE2451" s="19">
        <f t="shared" si="97"/>
        <v>1.6993055555556615</v>
      </c>
      <c r="BF2451" t="e">
        <f t="shared" ca="1" si="96"/>
        <v>#VALUE!</v>
      </c>
    </row>
    <row r="2452" spans="57:58">
      <c r="BE2452" s="19">
        <f t="shared" si="97"/>
        <v>1.7000000000001061</v>
      </c>
      <c r="BF2452" t="e">
        <f t="shared" ca="1" si="96"/>
        <v>#VALUE!</v>
      </c>
    </row>
    <row r="2453" spans="57:58">
      <c r="BE2453" s="19">
        <f t="shared" si="97"/>
        <v>1.7006944444445506</v>
      </c>
      <c r="BF2453" t="e">
        <f t="shared" ca="1" si="96"/>
        <v>#VALUE!</v>
      </c>
    </row>
    <row r="2454" spans="57:58">
      <c r="BE2454" s="19">
        <f t="shared" si="97"/>
        <v>1.7013888888889952</v>
      </c>
      <c r="BF2454" t="e">
        <f t="shared" ca="1" si="96"/>
        <v>#VALUE!</v>
      </c>
    </row>
    <row r="2455" spans="57:58">
      <c r="BE2455" s="19">
        <f t="shared" si="97"/>
        <v>1.7020833333334398</v>
      </c>
      <c r="BF2455" t="e">
        <f t="shared" ca="1" si="96"/>
        <v>#VALUE!</v>
      </c>
    </row>
    <row r="2456" spans="57:58">
      <c r="BE2456" s="19">
        <f t="shared" si="97"/>
        <v>1.7027777777778843</v>
      </c>
      <c r="BF2456" t="e">
        <f t="shared" ca="1" si="96"/>
        <v>#VALUE!</v>
      </c>
    </row>
    <row r="2457" spans="57:58">
      <c r="BE2457" s="19">
        <f t="shared" si="97"/>
        <v>1.7034722222223289</v>
      </c>
      <c r="BF2457" t="e">
        <f t="shared" ca="1" si="96"/>
        <v>#VALUE!</v>
      </c>
    </row>
    <row r="2458" spans="57:58">
      <c r="BE2458" s="19">
        <f t="shared" si="97"/>
        <v>1.7041666666667734</v>
      </c>
      <c r="BF2458" t="e">
        <f t="shared" ca="1" si="96"/>
        <v>#VALUE!</v>
      </c>
    </row>
    <row r="2459" spans="57:58">
      <c r="BE2459" s="19">
        <f t="shared" si="97"/>
        <v>1.704861111111218</v>
      </c>
      <c r="BF2459" t="e">
        <f t="shared" ca="1" si="96"/>
        <v>#VALUE!</v>
      </c>
    </row>
    <row r="2460" spans="57:58">
      <c r="BE2460" s="19">
        <f t="shared" si="97"/>
        <v>1.7055555555556625</v>
      </c>
      <c r="BF2460" t="e">
        <f t="shared" ca="1" si="96"/>
        <v>#VALUE!</v>
      </c>
    </row>
    <row r="2461" spans="57:58">
      <c r="BE2461" s="19">
        <f t="shared" si="97"/>
        <v>1.7062500000001071</v>
      </c>
      <c r="BF2461" t="e">
        <f t="shared" ca="1" si="96"/>
        <v>#VALUE!</v>
      </c>
    </row>
    <row r="2462" spans="57:58">
      <c r="BE2462" s="19">
        <f t="shared" si="97"/>
        <v>1.7069444444445516</v>
      </c>
      <c r="BF2462" t="e">
        <f t="shared" ca="1" si="96"/>
        <v>#VALUE!</v>
      </c>
    </row>
    <row r="2463" spans="57:58">
      <c r="BE2463" s="19">
        <f t="shared" si="97"/>
        <v>1.7076388888889962</v>
      </c>
      <c r="BF2463" t="e">
        <f t="shared" ca="1" si="96"/>
        <v>#VALUE!</v>
      </c>
    </row>
    <row r="2464" spans="57:58">
      <c r="BE2464" s="19">
        <f t="shared" si="97"/>
        <v>1.7083333333334407</v>
      </c>
      <c r="BF2464" t="e">
        <f t="shared" ca="1" si="96"/>
        <v>#VALUE!</v>
      </c>
    </row>
    <row r="2465" spans="57:58">
      <c r="BE2465" s="19">
        <f t="shared" si="97"/>
        <v>1.7090277777778853</v>
      </c>
      <c r="BF2465" t="e">
        <f t="shared" ca="1" si="96"/>
        <v>#VALUE!</v>
      </c>
    </row>
    <row r="2466" spans="57:58">
      <c r="BE2466" s="19">
        <f t="shared" si="97"/>
        <v>1.7097222222223298</v>
      </c>
      <c r="BF2466" t="e">
        <f t="shared" ca="1" si="96"/>
        <v>#VALUE!</v>
      </c>
    </row>
    <row r="2467" spans="57:58">
      <c r="BE2467" s="19">
        <f t="shared" si="97"/>
        <v>1.7104166666667744</v>
      </c>
      <c r="BF2467" t="e">
        <f t="shared" ca="1" si="96"/>
        <v>#VALUE!</v>
      </c>
    </row>
    <row r="2468" spans="57:58">
      <c r="BE2468" s="19">
        <f t="shared" si="97"/>
        <v>1.7111111111112189</v>
      </c>
      <c r="BF2468" t="e">
        <f t="shared" ref="BF2468:BF2531" ca="1" si="98">IF(BE2468&lt;$B$5-1/1440,0,OFFSET($N$4,(BE2468-$B$4)*1440,0,1,1))</f>
        <v>#VALUE!</v>
      </c>
    </row>
    <row r="2469" spans="57:58">
      <c r="BE2469" s="19">
        <f t="shared" si="97"/>
        <v>1.7118055555556635</v>
      </c>
      <c r="BF2469" t="e">
        <f t="shared" ca="1" si="98"/>
        <v>#VALUE!</v>
      </c>
    </row>
    <row r="2470" spans="57:58">
      <c r="BE2470" s="19">
        <f t="shared" si="97"/>
        <v>1.712500000000108</v>
      </c>
      <c r="BF2470" t="e">
        <f t="shared" ca="1" si="98"/>
        <v>#VALUE!</v>
      </c>
    </row>
    <row r="2471" spans="57:58">
      <c r="BE2471" s="19">
        <f t="shared" si="97"/>
        <v>1.7131944444445526</v>
      </c>
      <c r="BF2471" t="e">
        <f t="shared" ca="1" si="98"/>
        <v>#VALUE!</v>
      </c>
    </row>
    <row r="2472" spans="57:58">
      <c r="BE2472" s="19">
        <f t="shared" si="97"/>
        <v>1.7138888888889972</v>
      </c>
      <c r="BF2472" t="e">
        <f t="shared" ca="1" si="98"/>
        <v>#VALUE!</v>
      </c>
    </row>
    <row r="2473" spans="57:58">
      <c r="BE2473" s="19">
        <f t="shared" si="97"/>
        <v>1.7145833333334417</v>
      </c>
      <c r="BF2473" t="e">
        <f t="shared" ca="1" si="98"/>
        <v>#VALUE!</v>
      </c>
    </row>
    <row r="2474" spans="57:58">
      <c r="BE2474" s="19">
        <f t="shared" si="97"/>
        <v>1.7152777777778863</v>
      </c>
      <c r="BF2474" t="e">
        <f t="shared" ca="1" si="98"/>
        <v>#VALUE!</v>
      </c>
    </row>
    <row r="2475" spans="57:58">
      <c r="BE2475" s="19">
        <f t="shared" si="97"/>
        <v>1.7159722222223308</v>
      </c>
      <c r="BF2475" t="e">
        <f t="shared" ca="1" si="98"/>
        <v>#VALUE!</v>
      </c>
    </row>
    <row r="2476" spans="57:58">
      <c r="BE2476" s="19">
        <f t="shared" si="97"/>
        <v>1.7166666666667754</v>
      </c>
      <c r="BF2476" t="e">
        <f t="shared" ca="1" si="98"/>
        <v>#VALUE!</v>
      </c>
    </row>
    <row r="2477" spans="57:58">
      <c r="BE2477" s="19">
        <f t="shared" si="97"/>
        <v>1.7173611111112199</v>
      </c>
      <c r="BF2477" t="e">
        <f t="shared" ca="1" si="98"/>
        <v>#VALUE!</v>
      </c>
    </row>
    <row r="2478" spans="57:58">
      <c r="BE2478" s="19">
        <f t="shared" si="97"/>
        <v>1.7180555555556645</v>
      </c>
      <c r="BF2478" t="e">
        <f t="shared" ca="1" si="98"/>
        <v>#VALUE!</v>
      </c>
    </row>
    <row r="2479" spans="57:58">
      <c r="BE2479" s="19">
        <f t="shared" si="97"/>
        <v>1.718750000000109</v>
      </c>
      <c r="BF2479" t="e">
        <f t="shared" ca="1" si="98"/>
        <v>#VALUE!</v>
      </c>
    </row>
    <row r="2480" spans="57:58">
      <c r="BE2480" s="19">
        <f t="shared" si="97"/>
        <v>1.7194444444445536</v>
      </c>
      <c r="BF2480" t="e">
        <f t="shared" ca="1" si="98"/>
        <v>#VALUE!</v>
      </c>
    </row>
    <row r="2481" spans="57:58">
      <c r="BE2481" s="19">
        <f t="shared" si="97"/>
        <v>1.7201388888889981</v>
      </c>
      <c r="BF2481" t="e">
        <f t="shared" ca="1" si="98"/>
        <v>#VALUE!</v>
      </c>
    </row>
    <row r="2482" spans="57:58">
      <c r="BE2482" s="19">
        <f t="shared" si="97"/>
        <v>1.7208333333334427</v>
      </c>
      <c r="BF2482" t="e">
        <f t="shared" ca="1" si="98"/>
        <v>#VALUE!</v>
      </c>
    </row>
    <row r="2483" spans="57:58">
      <c r="BE2483" s="19">
        <f t="shared" si="97"/>
        <v>1.7215277777778872</v>
      </c>
      <c r="BF2483" t="e">
        <f t="shared" ca="1" si="98"/>
        <v>#VALUE!</v>
      </c>
    </row>
    <row r="2484" spans="57:58">
      <c r="BE2484" s="19">
        <f t="shared" si="97"/>
        <v>1.7222222222223318</v>
      </c>
      <c r="BF2484" t="e">
        <f t="shared" ca="1" si="98"/>
        <v>#VALUE!</v>
      </c>
    </row>
    <row r="2485" spans="57:58">
      <c r="BE2485" s="19">
        <f t="shared" si="97"/>
        <v>1.7229166666667763</v>
      </c>
      <c r="BF2485" t="e">
        <f t="shared" ca="1" si="98"/>
        <v>#VALUE!</v>
      </c>
    </row>
    <row r="2486" spans="57:58">
      <c r="BE2486" s="19">
        <f t="shared" si="97"/>
        <v>1.7236111111112209</v>
      </c>
      <c r="BF2486" t="e">
        <f t="shared" ca="1" si="98"/>
        <v>#VALUE!</v>
      </c>
    </row>
    <row r="2487" spans="57:58">
      <c r="BE2487" s="19">
        <f t="shared" si="97"/>
        <v>1.7243055555556654</v>
      </c>
      <c r="BF2487" t="e">
        <f t="shared" ca="1" si="98"/>
        <v>#VALUE!</v>
      </c>
    </row>
    <row r="2488" spans="57:58">
      <c r="BE2488" s="19">
        <f t="shared" si="97"/>
        <v>1.72500000000011</v>
      </c>
      <c r="BF2488" t="e">
        <f t="shared" ca="1" si="98"/>
        <v>#VALUE!</v>
      </c>
    </row>
    <row r="2489" spans="57:58">
      <c r="BE2489" s="19">
        <f t="shared" si="97"/>
        <v>1.7256944444445546</v>
      </c>
      <c r="BF2489" t="e">
        <f t="shared" ca="1" si="98"/>
        <v>#VALUE!</v>
      </c>
    </row>
    <row r="2490" spans="57:58">
      <c r="BE2490" s="19">
        <f t="shared" si="97"/>
        <v>1.7263888888889991</v>
      </c>
      <c r="BF2490" t="e">
        <f t="shared" ca="1" si="98"/>
        <v>#VALUE!</v>
      </c>
    </row>
    <row r="2491" spans="57:58">
      <c r="BE2491" s="19">
        <f t="shared" si="97"/>
        <v>1.7270833333334437</v>
      </c>
      <c r="BF2491" t="e">
        <f t="shared" ca="1" si="98"/>
        <v>#VALUE!</v>
      </c>
    </row>
    <row r="2492" spans="57:58">
      <c r="BE2492" s="19">
        <f t="shared" si="97"/>
        <v>1.7277777777778882</v>
      </c>
      <c r="BF2492" t="e">
        <f t="shared" ca="1" si="98"/>
        <v>#VALUE!</v>
      </c>
    </row>
    <row r="2493" spans="57:58">
      <c r="BE2493" s="19">
        <f t="shared" si="97"/>
        <v>1.7284722222223328</v>
      </c>
      <c r="BF2493" t="e">
        <f t="shared" ca="1" si="98"/>
        <v>#VALUE!</v>
      </c>
    </row>
    <row r="2494" spans="57:58">
      <c r="BE2494" s="19">
        <f t="shared" si="97"/>
        <v>1.7291666666667773</v>
      </c>
      <c r="BF2494" t="e">
        <f t="shared" ca="1" si="98"/>
        <v>#VALUE!</v>
      </c>
    </row>
    <row r="2495" spans="57:58">
      <c r="BE2495" s="19">
        <f t="shared" si="97"/>
        <v>1.7298611111112219</v>
      </c>
      <c r="BF2495" t="e">
        <f t="shared" ca="1" si="98"/>
        <v>#VALUE!</v>
      </c>
    </row>
    <row r="2496" spans="57:58">
      <c r="BE2496" s="19">
        <f t="shared" si="97"/>
        <v>1.7305555555556664</v>
      </c>
      <c r="BF2496" t="e">
        <f t="shared" ca="1" si="98"/>
        <v>#VALUE!</v>
      </c>
    </row>
    <row r="2497" spans="57:58">
      <c r="BE2497" s="19">
        <f t="shared" si="97"/>
        <v>1.731250000000111</v>
      </c>
      <c r="BF2497" t="e">
        <f t="shared" ca="1" si="98"/>
        <v>#VALUE!</v>
      </c>
    </row>
    <row r="2498" spans="57:58">
      <c r="BE2498" s="19">
        <f t="shared" si="97"/>
        <v>1.7319444444445555</v>
      </c>
      <c r="BF2498" t="e">
        <f t="shared" ca="1" si="98"/>
        <v>#VALUE!</v>
      </c>
    </row>
    <row r="2499" spans="57:58">
      <c r="BE2499" s="19">
        <f t="shared" si="97"/>
        <v>1.7326388888890001</v>
      </c>
      <c r="BF2499" t="e">
        <f t="shared" ca="1" si="98"/>
        <v>#VALUE!</v>
      </c>
    </row>
    <row r="2500" spans="57:58">
      <c r="BE2500" s="19">
        <f t="shared" si="97"/>
        <v>1.7333333333334446</v>
      </c>
      <c r="BF2500" t="e">
        <f t="shared" ca="1" si="98"/>
        <v>#VALUE!</v>
      </c>
    </row>
    <row r="2501" spans="57:58">
      <c r="BE2501" s="19">
        <f t="shared" si="97"/>
        <v>1.7340277777778892</v>
      </c>
      <c r="BF2501" t="e">
        <f t="shared" ca="1" si="98"/>
        <v>#VALUE!</v>
      </c>
    </row>
    <row r="2502" spans="57:58">
      <c r="BE2502" s="19">
        <f t="shared" ref="BE2502:BE2565" si="99">BE2501+1/1440</f>
        <v>1.7347222222223337</v>
      </c>
      <c r="BF2502" t="e">
        <f t="shared" ca="1" si="98"/>
        <v>#VALUE!</v>
      </c>
    </row>
    <row r="2503" spans="57:58">
      <c r="BE2503" s="19">
        <f t="shared" si="99"/>
        <v>1.7354166666667783</v>
      </c>
      <c r="BF2503" t="e">
        <f t="shared" ca="1" si="98"/>
        <v>#VALUE!</v>
      </c>
    </row>
    <row r="2504" spans="57:58">
      <c r="BE2504" s="19">
        <f t="shared" si="99"/>
        <v>1.7361111111112228</v>
      </c>
      <c r="BF2504" t="e">
        <f t="shared" ca="1" si="98"/>
        <v>#VALUE!</v>
      </c>
    </row>
    <row r="2505" spans="57:58">
      <c r="BE2505" s="19">
        <f t="shared" si="99"/>
        <v>1.7368055555556674</v>
      </c>
      <c r="BF2505" t="e">
        <f t="shared" ca="1" si="98"/>
        <v>#VALUE!</v>
      </c>
    </row>
    <row r="2506" spans="57:58">
      <c r="BE2506" s="19">
        <f t="shared" si="99"/>
        <v>1.737500000000112</v>
      </c>
      <c r="BF2506" t="e">
        <f t="shared" ca="1" si="98"/>
        <v>#VALUE!</v>
      </c>
    </row>
    <row r="2507" spans="57:58">
      <c r="BE2507" s="19">
        <f t="shared" si="99"/>
        <v>1.7381944444445565</v>
      </c>
      <c r="BF2507" t="e">
        <f t="shared" ca="1" si="98"/>
        <v>#VALUE!</v>
      </c>
    </row>
    <row r="2508" spans="57:58">
      <c r="BE2508" s="19">
        <f t="shared" si="99"/>
        <v>1.7388888888890011</v>
      </c>
      <c r="BF2508" t="e">
        <f t="shared" ca="1" si="98"/>
        <v>#VALUE!</v>
      </c>
    </row>
    <row r="2509" spans="57:58">
      <c r="BE2509" s="19">
        <f t="shared" si="99"/>
        <v>1.7395833333334456</v>
      </c>
      <c r="BF2509" t="e">
        <f t="shared" ca="1" si="98"/>
        <v>#VALUE!</v>
      </c>
    </row>
    <row r="2510" spans="57:58">
      <c r="BE2510" s="19">
        <f t="shared" si="99"/>
        <v>1.7402777777778902</v>
      </c>
      <c r="BF2510" t="e">
        <f t="shared" ca="1" si="98"/>
        <v>#VALUE!</v>
      </c>
    </row>
    <row r="2511" spans="57:58">
      <c r="BE2511" s="19">
        <f t="shared" si="99"/>
        <v>1.7409722222223347</v>
      </c>
      <c r="BF2511" t="e">
        <f t="shared" ca="1" si="98"/>
        <v>#VALUE!</v>
      </c>
    </row>
    <row r="2512" spans="57:58">
      <c r="BE2512" s="19">
        <f t="shared" si="99"/>
        <v>1.7416666666667793</v>
      </c>
      <c r="BF2512" t="e">
        <f t="shared" ca="1" si="98"/>
        <v>#VALUE!</v>
      </c>
    </row>
    <row r="2513" spans="57:58">
      <c r="BE2513" s="19">
        <f t="shared" si="99"/>
        <v>1.7423611111112238</v>
      </c>
      <c r="BF2513" t="e">
        <f t="shared" ca="1" si="98"/>
        <v>#VALUE!</v>
      </c>
    </row>
    <row r="2514" spans="57:58">
      <c r="BE2514" s="19">
        <f t="shared" si="99"/>
        <v>1.7430555555556684</v>
      </c>
      <c r="BF2514" t="e">
        <f t="shared" ca="1" si="98"/>
        <v>#VALUE!</v>
      </c>
    </row>
    <row r="2515" spans="57:58">
      <c r="BE2515" s="19">
        <f t="shared" si="99"/>
        <v>1.7437500000001129</v>
      </c>
      <c r="BF2515" t="e">
        <f t="shared" ca="1" si="98"/>
        <v>#VALUE!</v>
      </c>
    </row>
    <row r="2516" spans="57:58">
      <c r="BE2516" s="19">
        <f t="shared" si="99"/>
        <v>1.7444444444445575</v>
      </c>
      <c r="BF2516" t="e">
        <f t="shared" ca="1" si="98"/>
        <v>#VALUE!</v>
      </c>
    </row>
    <row r="2517" spans="57:58">
      <c r="BE2517" s="19">
        <f t="shared" si="99"/>
        <v>1.745138888889002</v>
      </c>
      <c r="BF2517" t="e">
        <f t="shared" ca="1" si="98"/>
        <v>#VALUE!</v>
      </c>
    </row>
    <row r="2518" spans="57:58">
      <c r="BE2518" s="19">
        <f t="shared" si="99"/>
        <v>1.7458333333334466</v>
      </c>
      <c r="BF2518" t="e">
        <f t="shared" ca="1" si="98"/>
        <v>#VALUE!</v>
      </c>
    </row>
    <row r="2519" spans="57:58">
      <c r="BE2519" s="19">
        <f t="shared" si="99"/>
        <v>1.7465277777778911</v>
      </c>
      <c r="BF2519" t="e">
        <f t="shared" ca="1" si="98"/>
        <v>#VALUE!</v>
      </c>
    </row>
    <row r="2520" spans="57:58">
      <c r="BE2520" s="19">
        <f t="shared" si="99"/>
        <v>1.7472222222223357</v>
      </c>
      <c r="BF2520" t="e">
        <f t="shared" ca="1" si="98"/>
        <v>#VALUE!</v>
      </c>
    </row>
    <row r="2521" spans="57:58">
      <c r="BE2521" s="19">
        <f t="shared" si="99"/>
        <v>1.7479166666667802</v>
      </c>
      <c r="BF2521" t="e">
        <f t="shared" ca="1" si="98"/>
        <v>#VALUE!</v>
      </c>
    </row>
    <row r="2522" spans="57:58">
      <c r="BE2522" s="19">
        <f t="shared" si="99"/>
        <v>1.7486111111112248</v>
      </c>
      <c r="BF2522" t="e">
        <f t="shared" ca="1" si="98"/>
        <v>#VALUE!</v>
      </c>
    </row>
    <row r="2523" spans="57:58">
      <c r="BE2523" s="19">
        <f t="shared" si="99"/>
        <v>1.7493055555556694</v>
      </c>
      <c r="BF2523" t="e">
        <f t="shared" ca="1" si="98"/>
        <v>#VALUE!</v>
      </c>
    </row>
    <row r="2524" spans="57:58">
      <c r="BE2524" s="19">
        <f t="shared" si="99"/>
        <v>1.7500000000001139</v>
      </c>
      <c r="BF2524" t="e">
        <f t="shared" ca="1" si="98"/>
        <v>#VALUE!</v>
      </c>
    </row>
    <row r="2525" spans="57:58">
      <c r="BE2525" s="19">
        <f t="shared" si="99"/>
        <v>1.7506944444445585</v>
      </c>
      <c r="BF2525" t="e">
        <f t="shared" ca="1" si="98"/>
        <v>#VALUE!</v>
      </c>
    </row>
    <row r="2526" spans="57:58">
      <c r="BE2526" s="19">
        <f t="shared" si="99"/>
        <v>1.751388888889003</v>
      </c>
      <c r="BF2526" t="e">
        <f t="shared" ca="1" si="98"/>
        <v>#VALUE!</v>
      </c>
    </row>
    <row r="2527" spans="57:58">
      <c r="BE2527" s="19">
        <f t="shared" si="99"/>
        <v>1.7520833333334476</v>
      </c>
      <c r="BF2527" t="e">
        <f t="shared" ca="1" si="98"/>
        <v>#VALUE!</v>
      </c>
    </row>
    <row r="2528" spans="57:58">
      <c r="BE2528" s="19">
        <f t="shared" si="99"/>
        <v>1.7527777777778921</v>
      </c>
      <c r="BF2528" t="e">
        <f t="shared" ca="1" si="98"/>
        <v>#VALUE!</v>
      </c>
    </row>
    <row r="2529" spans="57:58">
      <c r="BE2529" s="19">
        <f t="shared" si="99"/>
        <v>1.7534722222223367</v>
      </c>
      <c r="BF2529" t="e">
        <f t="shared" ca="1" si="98"/>
        <v>#VALUE!</v>
      </c>
    </row>
    <row r="2530" spans="57:58">
      <c r="BE2530" s="19">
        <f t="shared" si="99"/>
        <v>1.7541666666667812</v>
      </c>
      <c r="BF2530" t="e">
        <f t="shared" ca="1" si="98"/>
        <v>#VALUE!</v>
      </c>
    </row>
    <row r="2531" spans="57:58">
      <c r="BE2531" s="19">
        <f t="shared" si="99"/>
        <v>1.7548611111112258</v>
      </c>
      <c r="BF2531" t="e">
        <f t="shared" ca="1" si="98"/>
        <v>#VALUE!</v>
      </c>
    </row>
    <row r="2532" spans="57:58">
      <c r="BE2532" s="19">
        <f t="shared" si="99"/>
        <v>1.7555555555556703</v>
      </c>
      <c r="BF2532" t="e">
        <f t="shared" ref="BF2532:BF2595" ca="1" si="100">IF(BE2532&lt;$B$5-1/1440,0,OFFSET($N$4,(BE2532-$B$4)*1440,0,1,1))</f>
        <v>#VALUE!</v>
      </c>
    </row>
    <row r="2533" spans="57:58">
      <c r="BE2533" s="19">
        <f t="shared" si="99"/>
        <v>1.7562500000001149</v>
      </c>
      <c r="BF2533" t="e">
        <f t="shared" ca="1" si="100"/>
        <v>#VALUE!</v>
      </c>
    </row>
    <row r="2534" spans="57:58">
      <c r="BE2534" s="19">
        <f t="shared" si="99"/>
        <v>1.7569444444445594</v>
      </c>
      <c r="BF2534" t="e">
        <f t="shared" ca="1" si="100"/>
        <v>#VALUE!</v>
      </c>
    </row>
    <row r="2535" spans="57:58">
      <c r="BE2535" s="19">
        <f t="shared" si="99"/>
        <v>1.757638888889004</v>
      </c>
      <c r="BF2535" t="e">
        <f t="shared" ca="1" si="100"/>
        <v>#VALUE!</v>
      </c>
    </row>
    <row r="2536" spans="57:58">
      <c r="BE2536" s="19">
        <f t="shared" si="99"/>
        <v>1.7583333333334485</v>
      </c>
      <c r="BF2536" t="e">
        <f t="shared" ca="1" si="100"/>
        <v>#VALUE!</v>
      </c>
    </row>
    <row r="2537" spans="57:58">
      <c r="BE2537" s="19">
        <f t="shared" si="99"/>
        <v>1.7590277777778931</v>
      </c>
      <c r="BF2537" t="e">
        <f t="shared" ca="1" si="100"/>
        <v>#VALUE!</v>
      </c>
    </row>
    <row r="2538" spans="57:58">
      <c r="BE2538" s="19">
        <f t="shared" si="99"/>
        <v>1.7597222222223377</v>
      </c>
      <c r="BF2538" t="e">
        <f t="shared" ca="1" si="100"/>
        <v>#VALUE!</v>
      </c>
    </row>
    <row r="2539" spans="57:58">
      <c r="BE2539" s="19">
        <f t="shared" si="99"/>
        <v>1.7604166666667822</v>
      </c>
      <c r="BF2539" t="e">
        <f t="shared" ca="1" si="100"/>
        <v>#VALUE!</v>
      </c>
    </row>
    <row r="2540" spans="57:58">
      <c r="BE2540" s="19">
        <f t="shared" si="99"/>
        <v>1.7611111111112268</v>
      </c>
      <c r="BF2540" t="e">
        <f t="shared" ca="1" si="100"/>
        <v>#VALUE!</v>
      </c>
    </row>
    <row r="2541" spans="57:58">
      <c r="BE2541" s="19">
        <f t="shared" si="99"/>
        <v>1.7618055555556713</v>
      </c>
      <c r="BF2541" t="e">
        <f t="shared" ca="1" si="100"/>
        <v>#VALUE!</v>
      </c>
    </row>
    <row r="2542" spans="57:58">
      <c r="BE2542" s="19">
        <f t="shared" si="99"/>
        <v>1.7625000000001159</v>
      </c>
      <c r="BF2542" t="e">
        <f t="shared" ca="1" si="100"/>
        <v>#VALUE!</v>
      </c>
    </row>
    <row r="2543" spans="57:58">
      <c r="BE2543" s="19">
        <f t="shared" si="99"/>
        <v>1.7631944444445604</v>
      </c>
      <c r="BF2543" t="e">
        <f t="shared" ca="1" si="100"/>
        <v>#VALUE!</v>
      </c>
    </row>
    <row r="2544" spans="57:58">
      <c r="BE2544" s="19">
        <f t="shared" si="99"/>
        <v>1.763888888889005</v>
      </c>
      <c r="BF2544" t="e">
        <f t="shared" ca="1" si="100"/>
        <v>#VALUE!</v>
      </c>
    </row>
    <row r="2545" spans="57:58">
      <c r="BE2545" s="19">
        <f t="shared" si="99"/>
        <v>1.7645833333334495</v>
      </c>
      <c r="BF2545" t="e">
        <f t="shared" ca="1" si="100"/>
        <v>#VALUE!</v>
      </c>
    </row>
    <row r="2546" spans="57:58">
      <c r="BE2546" s="19">
        <f t="shared" si="99"/>
        <v>1.7652777777778941</v>
      </c>
      <c r="BF2546" t="e">
        <f t="shared" ca="1" si="100"/>
        <v>#VALUE!</v>
      </c>
    </row>
    <row r="2547" spans="57:58">
      <c r="BE2547" s="19">
        <f t="shared" si="99"/>
        <v>1.7659722222223386</v>
      </c>
      <c r="BF2547" t="e">
        <f t="shared" ca="1" si="100"/>
        <v>#VALUE!</v>
      </c>
    </row>
    <row r="2548" spans="57:58">
      <c r="BE2548" s="19">
        <f t="shared" si="99"/>
        <v>1.7666666666667832</v>
      </c>
      <c r="BF2548" t="e">
        <f t="shared" ca="1" si="100"/>
        <v>#VALUE!</v>
      </c>
    </row>
    <row r="2549" spans="57:58">
      <c r="BE2549" s="19">
        <f t="shared" si="99"/>
        <v>1.7673611111112277</v>
      </c>
      <c r="BF2549" t="e">
        <f t="shared" ca="1" si="100"/>
        <v>#VALUE!</v>
      </c>
    </row>
    <row r="2550" spans="57:58">
      <c r="BE2550" s="19">
        <f t="shared" si="99"/>
        <v>1.7680555555556723</v>
      </c>
      <c r="BF2550" t="e">
        <f t="shared" ca="1" si="100"/>
        <v>#VALUE!</v>
      </c>
    </row>
    <row r="2551" spans="57:58">
      <c r="BE2551" s="19">
        <f t="shared" si="99"/>
        <v>1.7687500000001168</v>
      </c>
      <c r="BF2551" t="e">
        <f t="shared" ca="1" si="100"/>
        <v>#VALUE!</v>
      </c>
    </row>
    <row r="2552" spans="57:58">
      <c r="BE2552" s="19">
        <f t="shared" si="99"/>
        <v>1.7694444444445614</v>
      </c>
      <c r="BF2552" t="e">
        <f t="shared" ca="1" si="100"/>
        <v>#VALUE!</v>
      </c>
    </row>
    <row r="2553" spans="57:58">
      <c r="BE2553" s="19">
        <f t="shared" si="99"/>
        <v>1.7701388888890059</v>
      </c>
      <c r="BF2553" t="e">
        <f t="shared" ca="1" si="100"/>
        <v>#VALUE!</v>
      </c>
    </row>
    <row r="2554" spans="57:58">
      <c r="BE2554" s="19">
        <f t="shared" si="99"/>
        <v>1.7708333333334505</v>
      </c>
      <c r="BF2554" t="e">
        <f t="shared" ca="1" si="100"/>
        <v>#VALUE!</v>
      </c>
    </row>
    <row r="2555" spans="57:58">
      <c r="BE2555" s="19">
        <f t="shared" si="99"/>
        <v>1.7715277777778951</v>
      </c>
      <c r="BF2555" t="e">
        <f t="shared" ca="1" si="100"/>
        <v>#VALUE!</v>
      </c>
    </row>
    <row r="2556" spans="57:58">
      <c r="BE2556" s="19">
        <f t="shared" si="99"/>
        <v>1.7722222222223396</v>
      </c>
      <c r="BF2556" t="e">
        <f t="shared" ca="1" si="100"/>
        <v>#VALUE!</v>
      </c>
    </row>
    <row r="2557" spans="57:58">
      <c r="BE2557" s="19">
        <f t="shared" si="99"/>
        <v>1.7729166666667842</v>
      </c>
      <c r="BF2557" t="e">
        <f t="shared" ca="1" si="100"/>
        <v>#VALUE!</v>
      </c>
    </row>
    <row r="2558" spans="57:58">
      <c r="BE2558" s="19">
        <f t="shared" si="99"/>
        <v>1.7736111111112287</v>
      </c>
      <c r="BF2558" t="e">
        <f t="shared" ca="1" si="100"/>
        <v>#VALUE!</v>
      </c>
    </row>
    <row r="2559" spans="57:58">
      <c r="BE2559" s="19">
        <f t="shared" si="99"/>
        <v>1.7743055555556733</v>
      </c>
      <c r="BF2559" t="e">
        <f t="shared" ca="1" si="100"/>
        <v>#VALUE!</v>
      </c>
    </row>
    <row r="2560" spans="57:58">
      <c r="BE2560" s="19">
        <f t="shared" si="99"/>
        <v>1.7750000000001178</v>
      </c>
      <c r="BF2560" t="e">
        <f t="shared" ca="1" si="100"/>
        <v>#VALUE!</v>
      </c>
    </row>
    <row r="2561" spans="57:58">
      <c r="BE2561" s="19">
        <f t="shared" si="99"/>
        <v>1.7756944444445624</v>
      </c>
      <c r="BF2561" t="e">
        <f t="shared" ca="1" si="100"/>
        <v>#VALUE!</v>
      </c>
    </row>
    <row r="2562" spans="57:58">
      <c r="BE2562" s="19">
        <f t="shared" si="99"/>
        <v>1.7763888888890069</v>
      </c>
      <c r="BF2562" t="e">
        <f t="shared" ca="1" si="100"/>
        <v>#VALUE!</v>
      </c>
    </row>
    <row r="2563" spans="57:58">
      <c r="BE2563" s="19">
        <f t="shared" si="99"/>
        <v>1.7770833333334515</v>
      </c>
      <c r="BF2563" t="e">
        <f t="shared" ca="1" si="100"/>
        <v>#VALUE!</v>
      </c>
    </row>
    <row r="2564" spans="57:58">
      <c r="BE2564" s="19">
        <f t="shared" si="99"/>
        <v>1.777777777777896</v>
      </c>
      <c r="BF2564" t="e">
        <f t="shared" ca="1" si="100"/>
        <v>#VALUE!</v>
      </c>
    </row>
    <row r="2565" spans="57:58">
      <c r="BE2565" s="19">
        <f t="shared" si="99"/>
        <v>1.7784722222223406</v>
      </c>
      <c r="BF2565" t="e">
        <f t="shared" ca="1" si="100"/>
        <v>#VALUE!</v>
      </c>
    </row>
    <row r="2566" spans="57:58">
      <c r="BE2566" s="19">
        <f t="shared" ref="BE2566:BE2629" si="101">BE2565+1/1440</f>
        <v>1.7791666666667851</v>
      </c>
      <c r="BF2566" t="e">
        <f t="shared" ca="1" si="100"/>
        <v>#VALUE!</v>
      </c>
    </row>
    <row r="2567" spans="57:58">
      <c r="BE2567" s="19">
        <f t="shared" si="101"/>
        <v>1.7798611111112297</v>
      </c>
      <c r="BF2567" t="e">
        <f t="shared" ca="1" si="100"/>
        <v>#VALUE!</v>
      </c>
    </row>
    <row r="2568" spans="57:58">
      <c r="BE2568" s="19">
        <f t="shared" si="101"/>
        <v>1.7805555555556742</v>
      </c>
      <c r="BF2568" t="e">
        <f t="shared" ca="1" si="100"/>
        <v>#VALUE!</v>
      </c>
    </row>
    <row r="2569" spans="57:58">
      <c r="BE2569" s="19">
        <f t="shared" si="101"/>
        <v>1.7812500000001188</v>
      </c>
      <c r="BF2569" t="e">
        <f t="shared" ca="1" si="100"/>
        <v>#VALUE!</v>
      </c>
    </row>
    <row r="2570" spans="57:58">
      <c r="BE2570" s="19">
        <f t="shared" si="101"/>
        <v>1.7819444444445633</v>
      </c>
      <c r="BF2570" t="e">
        <f t="shared" ca="1" si="100"/>
        <v>#VALUE!</v>
      </c>
    </row>
    <row r="2571" spans="57:58">
      <c r="BE2571" s="19">
        <f t="shared" si="101"/>
        <v>1.7826388888890079</v>
      </c>
      <c r="BF2571" t="e">
        <f t="shared" ca="1" si="100"/>
        <v>#VALUE!</v>
      </c>
    </row>
    <row r="2572" spans="57:58">
      <c r="BE2572" s="19">
        <f t="shared" si="101"/>
        <v>1.7833333333334525</v>
      </c>
      <c r="BF2572" t="e">
        <f t="shared" ca="1" si="100"/>
        <v>#VALUE!</v>
      </c>
    </row>
    <row r="2573" spans="57:58">
      <c r="BE2573" s="19">
        <f t="shared" si="101"/>
        <v>1.784027777777897</v>
      </c>
      <c r="BF2573" t="e">
        <f t="shared" ca="1" si="100"/>
        <v>#VALUE!</v>
      </c>
    </row>
    <row r="2574" spans="57:58">
      <c r="BE2574" s="19">
        <f t="shared" si="101"/>
        <v>1.7847222222223416</v>
      </c>
      <c r="BF2574" t="e">
        <f t="shared" ca="1" si="100"/>
        <v>#VALUE!</v>
      </c>
    </row>
    <row r="2575" spans="57:58">
      <c r="BE2575" s="19">
        <f t="shared" si="101"/>
        <v>1.7854166666667861</v>
      </c>
      <c r="BF2575" t="e">
        <f t="shared" ca="1" si="100"/>
        <v>#VALUE!</v>
      </c>
    </row>
    <row r="2576" spans="57:58">
      <c r="BE2576" s="19">
        <f t="shared" si="101"/>
        <v>1.7861111111112307</v>
      </c>
      <c r="BF2576" t="e">
        <f t="shared" ca="1" si="100"/>
        <v>#VALUE!</v>
      </c>
    </row>
    <row r="2577" spans="57:58">
      <c r="BE2577" s="19">
        <f t="shared" si="101"/>
        <v>1.7868055555556752</v>
      </c>
      <c r="BF2577" t="e">
        <f t="shared" ca="1" si="100"/>
        <v>#VALUE!</v>
      </c>
    </row>
    <row r="2578" spans="57:58">
      <c r="BE2578" s="19">
        <f t="shared" si="101"/>
        <v>1.7875000000001198</v>
      </c>
      <c r="BF2578" t="e">
        <f t="shared" ca="1" si="100"/>
        <v>#VALUE!</v>
      </c>
    </row>
    <row r="2579" spans="57:58">
      <c r="BE2579" s="19">
        <f t="shared" si="101"/>
        <v>1.7881944444445643</v>
      </c>
      <c r="BF2579" t="e">
        <f t="shared" ca="1" si="100"/>
        <v>#VALUE!</v>
      </c>
    </row>
    <row r="2580" spans="57:58">
      <c r="BE2580" s="19">
        <f t="shared" si="101"/>
        <v>1.7888888888890089</v>
      </c>
      <c r="BF2580" t="e">
        <f t="shared" ca="1" si="100"/>
        <v>#VALUE!</v>
      </c>
    </row>
    <row r="2581" spans="57:58">
      <c r="BE2581" s="19">
        <f t="shared" si="101"/>
        <v>1.7895833333334534</v>
      </c>
      <c r="BF2581" t="e">
        <f t="shared" ca="1" si="100"/>
        <v>#VALUE!</v>
      </c>
    </row>
    <row r="2582" spans="57:58">
      <c r="BE2582" s="19">
        <f t="shared" si="101"/>
        <v>1.790277777777898</v>
      </c>
      <c r="BF2582" t="e">
        <f t="shared" ca="1" si="100"/>
        <v>#VALUE!</v>
      </c>
    </row>
    <row r="2583" spans="57:58">
      <c r="BE2583" s="19">
        <f t="shared" si="101"/>
        <v>1.7909722222223425</v>
      </c>
      <c r="BF2583" t="e">
        <f t="shared" ca="1" si="100"/>
        <v>#VALUE!</v>
      </c>
    </row>
    <row r="2584" spans="57:58">
      <c r="BE2584" s="19">
        <f t="shared" si="101"/>
        <v>1.7916666666667871</v>
      </c>
      <c r="BF2584" t="e">
        <f t="shared" ca="1" si="100"/>
        <v>#VALUE!</v>
      </c>
    </row>
    <row r="2585" spans="57:58">
      <c r="BE2585" s="19">
        <f t="shared" si="101"/>
        <v>1.7923611111112316</v>
      </c>
      <c r="BF2585" t="e">
        <f t="shared" ca="1" si="100"/>
        <v>#VALUE!</v>
      </c>
    </row>
    <row r="2586" spans="57:58">
      <c r="BE2586" s="19">
        <f t="shared" si="101"/>
        <v>1.7930555555556762</v>
      </c>
      <c r="BF2586" t="e">
        <f t="shared" ca="1" si="100"/>
        <v>#VALUE!</v>
      </c>
    </row>
    <row r="2587" spans="57:58">
      <c r="BE2587" s="19">
        <f t="shared" si="101"/>
        <v>1.7937500000001207</v>
      </c>
      <c r="BF2587" t="e">
        <f t="shared" ca="1" si="100"/>
        <v>#VALUE!</v>
      </c>
    </row>
    <row r="2588" spans="57:58">
      <c r="BE2588" s="19">
        <f t="shared" si="101"/>
        <v>1.7944444444445653</v>
      </c>
      <c r="BF2588" t="e">
        <f t="shared" ca="1" si="100"/>
        <v>#VALUE!</v>
      </c>
    </row>
    <row r="2589" spans="57:58">
      <c r="BE2589" s="19">
        <f t="shared" si="101"/>
        <v>1.7951388888890099</v>
      </c>
      <c r="BF2589" t="e">
        <f t="shared" ca="1" si="100"/>
        <v>#VALUE!</v>
      </c>
    </row>
    <row r="2590" spans="57:58">
      <c r="BE2590" s="19">
        <f t="shared" si="101"/>
        <v>1.7958333333334544</v>
      </c>
      <c r="BF2590" t="e">
        <f t="shared" ca="1" si="100"/>
        <v>#VALUE!</v>
      </c>
    </row>
    <row r="2591" spans="57:58">
      <c r="BE2591" s="19">
        <f t="shared" si="101"/>
        <v>1.796527777777899</v>
      </c>
      <c r="BF2591" t="e">
        <f t="shared" ca="1" si="100"/>
        <v>#VALUE!</v>
      </c>
    </row>
    <row r="2592" spans="57:58">
      <c r="BE2592" s="19">
        <f t="shared" si="101"/>
        <v>1.7972222222223435</v>
      </c>
      <c r="BF2592" t="e">
        <f t="shared" ca="1" si="100"/>
        <v>#VALUE!</v>
      </c>
    </row>
    <row r="2593" spans="57:58">
      <c r="BE2593" s="19">
        <f t="shared" si="101"/>
        <v>1.7979166666667881</v>
      </c>
      <c r="BF2593" t="e">
        <f t="shared" ca="1" si="100"/>
        <v>#VALUE!</v>
      </c>
    </row>
    <row r="2594" spans="57:58">
      <c r="BE2594" s="19">
        <f t="shared" si="101"/>
        <v>1.7986111111112326</v>
      </c>
      <c r="BF2594" t="e">
        <f t="shared" ca="1" si="100"/>
        <v>#VALUE!</v>
      </c>
    </row>
    <row r="2595" spans="57:58">
      <c r="BE2595" s="19">
        <f t="shared" si="101"/>
        <v>1.7993055555556772</v>
      </c>
      <c r="BF2595" t="e">
        <f t="shared" ca="1" si="100"/>
        <v>#VALUE!</v>
      </c>
    </row>
    <row r="2596" spans="57:58">
      <c r="BE2596" s="19">
        <f t="shared" si="101"/>
        <v>1.8000000000001217</v>
      </c>
      <c r="BF2596" t="e">
        <f t="shared" ref="BF2596:BF2659" ca="1" si="102">IF(BE2596&lt;$B$5-1/1440,0,OFFSET($N$4,(BE2596-$B$4)*1440,0,1,1))</f>
        <v>#VALUE!</v>
      </c>
    </row>
    <row r="2597" spans="57:58">
      <c r="BE2597" s="19">
        <f t="shared" si="101"/>
        <v>1.8006944444445663</v>
      </c>
      <c r="BF2597" t="e">
        <f t="shared" ca="1" si="102"/>
        <v>#VALUE!</v>
      </c>
    </row>
    <row r="2598" spans="57:58">
      <c r="BE2598" s="19">
        <f t="shared" si="101"/>
        <v>1.8013888888890108</v>
      </c>
      <c r="BF2598" t="e">
        <f t="shared" ca="1" si="102"/>
        <v>#VALUE!</v>
      </c>
    </row>
    <row r="2599" spans="57:58">
      <c r="BE2599" s="19">
        <f t="shared" si="101"/>
        <v>1.8020833333334554</v>
      </c>
      <c r="BF2599" t="e">
        <f t="shared" ca="1" si="102"/>
        <v>#VALUE!</v>
      </c>
    </row>
    <row r="2600" spans="57:58">
      <c r="BE2600" s="19">
        <f t="shared" si="101"/>
        <v>1.8027777777778999</v>
      </c>
      <c r="BF2600" t="e">
        <f t="shared" ca="1" si="102"/>
        <v>#VALUE!</v>
      </c>
    </row>
    <row r="2601" spans="57:58">
      <c r="BE2601" s="19">
        <f t="shared" si="101"/>
        <v>1.8034722222223445</v>
      </c>
      <c r="BF2601" t="e">
        <f t="shared" ca="1" si="102"/>
        <v>#VALUE!</v>
      </c>
    </row>
    <row r="2602" spans="57:58">
      <c r="BE2602" s="19">
        <f t="shared" si="101"/>
        <v>1.804166666666789</v>
      </c>
      <c r="BF2602" t="e">
        <f t="shared" ca="1" si="102"/>
        <v>#VALUE!</v>
      </c>
    </row>
    <row r="2603" spans="57:58">
      <c r="BE2603" s="19">
        <f t="shared" si="101"/>
        <v>1.8048611111112336</v>
      </c>
      <c r="BF2603" t="e">
        <f t="shared" ca="1" si="102"/>
        <v>#VALUE!</v>
      </c>
    </row>
    <row r="2604" spans="57:58">
      <c r="BE2604" s="19">
        <f t="shared" si="101"/>
        <v>1.8055555555556781</v>
      </c>
      <c r="BF2604" t="e">
        <f t="shared" ca="1" si="102"/>
        <v>#VALUE!</v>
      </c>
    </row>
    <row r="2605" spans="57:58">
      <c r="BE2605" s="19">
        <f t="shared" si="101"/>
        <v>1.8062500000001227</v>
      </c>
      <c r="BF2605" t="e">
        <f t="shared" ca="1" si="102"/>
        <v>#VALUE!</v>
      </c>
    </row>
    <row r="2606" spans="57:58">
      <c r="BE2606" s="19">
        <f t="shared" si="101"/>
        <v>1.8069444444445673</v>
      </c>
      <c r="BF2606" t="e">
        <f t="shared" ca="1" si="102"/>
        <v>#VALUE!</v>
      </c>
    </row>
    <row r="2607" spans="57:58">
      <c r="BE2607" s="19">
        <f t="shared" si="101"/>
        <v>1.8076388888890118</v>
      </c>
      <c r="BF2607" t="e">
        <f t="shared" ca="1" si="102"/>
        <v>#VALUE!</v>
      </c>
    </row>
    <row r="2608" spans="57:58">
      <c r="BE2608" s="19">
        <f t="shared" si="101"/>
        <v>1.8083333333334564</v>
      </c>
      <c r="BF2608" t="e">
        <f t="shared" ca="1" si="102"/>
        <v>#VALUE!</v>
      </c>
    </row>
    <row r="2609" spans="57:58">
      <c r="BE2609" s="19">
        <f t="shared" si="101"/>
        <v>1.8090277777779009</v>
      </c>
      <c r="BF2609" t="e">
        <f t="shared" ca="1" si="102"/>
        <v>#VALUE!</v>
      </c>
    </row>
    <row r="2610" spans="57:58">
      <c r="BE2610" s="19">
        <f t="shared" si="101"/>
        <v>1.8097222222223455</v>
      </c>
      <c r="BF2610" t="e">
        <f t="shared" ca="1" si="102"/>
        <v>#VALUE!</v>
      </c>
    </row>
    <row r="2611" spans="57:58">
      <c r="BE2611" s="19">
        <f t="shared" si="101"/>
        <v>1.81041666666679</v>
      </c>
      <c r="BF2611" t="e">
        <f t="shared" ca="1" si="102"/>
        <v>#VALUE!</v>
      </c>
    </row>
    <row r="2612" spans="57:58">
      <c r="BE2612" s="19">
        <f t="shared" si="101"/>
        <v>1.8111111111112346</v>
      </c>
      <c r="BF2612" t="e">
        <f t="shared" ca="1" si="102"/>
        <v>#VALUE!</v>
      </c>
    </row>
    <row r="2613" spans="57:58">
      <c r="BE2613" s="19">
        <f t="shared" si="101"/>
        <v>1.8118055555556791</v>
      </c>
      <c r="BF2613" t="e">
        <f t="shared" ca="1" si="102"/>
        <v>#VALUE!</v>
      </c>
    </row>
    <row r="2614" spans="57:58">
      <c r="BE2614" s="19">
        <f t="shared" si="101"/>
        <v>1.8125000000001237</v>
      </c>
      <c r="BF2614" t="e">
        <f t="shared" ca="1" si="102"/>
        <v>#VALUE!</v>
      </c>
    </row>
    <row r="2615" spans="57:58">
      <c r="BE2615" s="19">
        <f t="shared" si="101"/>
        <v>1.8131944444445682</v>
      </c>
      <c r="BF2615" t="e">
        <f t="shared" ca="1" si="102"/>
        <v>#VALUE!</v>
      </c>
    </row>
    <row r="2616" spans="57:58">
      <c r="BE2616" s="19">
        <f t="shared" si="101"/>
        <v>1.8138888888890128</v>
      </c>
      <c r="BF2616" t="e">
        <f t="shared" ca="1" si="102"/>
        <v>#VALUE!</v>
      </c>
    </row>
    <row r="2617" spans="57:58">
      <c r="BE2617" s="19">
        <f t="shared" si="101"/>
        <v>1.8145833333334573</v>
      </c>
      <c r="BF2617" t="e">
        <f t="shared" ca="1" si="102"/>
        <v>#VALUE!</v>
      </c>
    </row>
    <row r="2618" spans="57:58">
      <c r="BE2618" s="19">
        <f t="shared" si="101"/>
        <v>1.8152777777779019</v>
      </c>
      <c r="BF2618" t="e">
        <f t="shared" ca="1" si="102"/>
        <v>#VALUE!</v>
      </c>
    </row>
    <row r="2619" spans="57:58">
      <c r="BE2619" s="19">
        <f t="shared" si="101"/>
        <v>1.8159722222223464</v>
      </c>
      <c r="BF2619" t="e">
        <f t="shared" ca="1" si="102"/>
        <v>#VALUE!</v>
      </c>
    </row>
    <row r="2620" spans="57:58">
      <c r="BE2620" s="19">
        <f t="shared" si="101"/>
        <v>1.816666666666791</v>
      </c>
      <c r="BF2620" t="e">
        <f t="shared" ca="1" si="102"/>
        <v>#VALUE!</v>
      </c>
    </row>
    <row r="2621" spans="57:58">
      <c r="BE2621" s="19">
        <f t="shared" si="101"/>
        <v>1.8173611111112355</v>
      </c>
      <c r="BF2621" t="e">
        <f t="shared" ca="1" si="102"/>
        <v>#VALUE!</v>
      </c>
    </row>
    <row r="2622" spans="57:58">
      <c r="BE2622" s="19">
        <f t="shared" si="101"/>
        <v>1.8180555555556801</v>
      </c>
      <c r="BF2622" t="e">
        <f t="shared" ca="1" si="102"/>
        <v>#VALUE!</v>
      </c>
    </row>
    <row r="2623" spans="57:58">
      <c r="BE2623" s="19">
        <f t="shared" si="101"/>
        <v>1.8187500000001247</v>
      </c>
      <c r="BF2623" t="e">
        <f t="shared" ca="1" si="102"/>
        <v>#VALUE!</v>
      </c>
    </row>
    <row r="2624" spans="57:58">
      <c r="BE2624" s="19">
        <f t="shared" si="101"/>
        <v>1.8194444444445692</v>
      </c>
      <c r="BF2624" t="e">
        <f t="shared" ca="1" si="102"/>
        <v>#VALUE!</v>
      </c>
    </row>
    <row r="2625" spans="57:58">
      <c r="BE2625" s="19">
        <f t="shared" si="101"/>
        <v>1.8201388888890138</v>
      </c>
      <c r="BF2625" t="e">
        <f t="shared" ca="1" si="102"/>
        <v>#VALUE!</v>
      </c>
    </row>
    <row r="2626" spans="57:58">
      <c r="BE2626" s="19">
        <f t="shared" si="101"/>
        <v>1.8208333333334583</v>
      </c>
      <c r="BF2626" t="e">
        <f t="shared" ca="1" si="102"/>
        <v>#VALUE!</v>
      </c>
    </row>
    <row r="2627" spans="57:58">
      <c r="BE2627" s="19">
        <f t="shared" si="101"/>
        <v>1.8215277777779029</v>
      </c>
      <c r="BF2627" t="e">
        <f t="shared" ca="1" si="102"/>
        <v>#VALUE!</v>
      </c>
    </row>
    <row r="2628" spans="57:58">
      <c r="BE2628" s="19">
        <f t="shared" si="101"/>
        <v>1.8222222222223474</v>
      </c>
      <c r="BF2628" t="e">
        <f t="shared" ca="1" si="102"/>
        <v>#VALUE!</v>
      </c>
    </row>
    <row r="2629" spans="57:58">
      <c r="BE2629" s="19">
        <f t="shared" si="101"/>
        <v>1.822916666666792</v>
      </c>
      <c r="BF2629" t="e">
        <f t="shared" ca="1" si="102"/>
        <v>#VALUE!</v>
      </c>
    </row>
    <row r="2630" spans="57:58">
      <c r="BE2630" s="19">
        <f t="shared" ref="BE2630:BE2693" si="103">BE2629+1/1440</f>
        <v>1.8236111111112365</v>
      </c>
      <c r="BF2630" t="e">
        <f t="shared" ca="1" si="102"/>
        <v>#VALUE!</v>
      </c>
    </row>
    <row r="2631" spans="57:58">
      <c r="BE2631" s="19">
        <f t="shared" si="103"/>
        <v>1.8243055555556811</v>
      </c>
      <c r="BF2631" t="e">
        <f t="shared" ca="1" si="102"/>
        <v>#VALUE!</v>
      </c>
    </row>
    <row r="2632" spans="57:58">
      <c r="BE2632" s="19">
        <f t="shared" si="103"/>
        <v>1.8250000000001256</v>
      </c>
      <c r="BF2632" t="e">
        <f t="shared" ca="1" si="102"/>
        <v>#VALUE!</v>
      </c>
    </row>
    <row r="2633" spans="57:58">
      <c r="BE2633" s="19">
        <f t="shared" si="103"/>
        <v>1.8256944444445702</v>
      </c>
      <c r="BF2633" t="e">
        <f t="shared" ca="1" si="102"/>
        <v>#VALUE!</v>
      </c>
    </row>
    <row r="2634" spans="57:58">
      <c r="BE2634" s="19">
        <f t="shared" si="103"/>
        <v>1.8263888888890147</v>
      </c>
      <c r="BF2634" t="e">
        <f t="shared" ca="1" si="102"/>
        <v>#VALUE!</v>
      </c>
    </row>
    <row r="2635" spans="57:58">
      <c r="BE2635" s="19">
        <f t="shared" si="103"/>
        <v>1.8270833333334593</v>
      </c>
      <c r="BF2635" t="e">
        <f t="shared" ca="1" si="102"/>
        <v>#VALUE!</v>
      </c>
    </row>
    <row r="2636" spans="57:58">
      <c r="BE2636" s="19">
        <f t="shared" si="103"/>
        <v>1.8277777777779038</v>
      </c>
      <c r="BF2636" t="e">
        <f t="shared" ca="1" si="102"/>
        <v>#VALUE!</v>
      </c>
    </row>
    <row r="2637" spans="57:58">
      <c r="BE2637" s="19">
        <f t="shared" si="103"/>
        <v>1.8284722222223484</v>
      </c>
      <c r="BF2637" t="e">
        <f t="shared" ca="1" si="102"/>
        <v>#VALUE!</v>
      </c>
    </row>
    <row r="2638" spans="57:58">
      <c r="BE2638" s="19">
        <f t="shared" si="103"/>
        <v>1.829166666666793</v>
      </c>
      <c r="BF2638" t="e">
        <f t="shared" ca="1" si="102"/>
        <v>#VALUE!</v>
      </c>
    </row>
    <row r="2639" spans="57:58">
      <c r="BE2639" s="19">
        <f t="shared" si="103"/>
        <v>1.8298611111112375</v>
      </c>
      <c r="BF2639" t="e">
        <f t="shared" ca="1" si="102"/>
        <v>#VALUE!</v>
      </c>
    </row>
    <row r="2640" spans="57:58">
      <c r="BE2640" s="19">
        <f t="shared" si="103"/>
        <v>1.8305555555556821</v>
      </c>
      <c r="BF2640" t="e">
        <f t="shared" ca="1" si="102"/>
        <v>#VALUE!</v>
      </c>
    </row>
    <row r="2641" spans="57:58">
      <c r="BE2641" s="19">
        <f t="shared" si="103"/>
        <v>1.8312500000001266</v>
      </c>
      <c r="BF2641" t="e">
        <f t="shared" ca="1" si="102"/>
        <v>#VALUE!</v>
      </c>
    </row>
    <row r="2642" spans="57:58">
      <c r="BE2642" s="19">
        <f t="shared" si="103"/>
        <v>1.8319444444445712</v>
      </c>
      <c r="BF2642" t="e">
        <f t="shared" ca="1" si="102"/>
        <v>#VALUE!</v>
      </c>
    </row>
    <row r="2643" spans="57:58">
      <c r="BE2643" s="19">
        <f t="shared" si="103"/>
        <v>1.8326388888890157</v>
      </c>
      <c r="BF2643" t="e">
        <f t="shared" ca="1" si="102"/>
        <v>#VALUE!</v>
      </c>
    </row>
    <row r="2644" spans="57:58">
      <c r="BE2644" s="19">
        <f t="shared" si="103"/>
        <v>1.8333333333334603</v>
      </c>
      <c r="BF2644" t="e">
        <f t="shared" ca="1" si="102"/>
        <v>#VALUE!</v>
      </c>
    </row>
    <row r="2645" spans="57:58">
      <c r="BE2645" s="19">
        <f t="shared" si="103"/>
        <v>1.8340277777779048</v>
      </c>
      <c r="BF2645" t="e">
        <f t="shared" ca="1" si="102"/>
        <v>#VALUE!</v>
      </c>
    </row>
    <row r="2646" spans="57:58">
      <c r="BE2646" s="19">
        <f t="shared" si="103"/>
        <v>1.8347222222223494</v>
      </c>
      <c r="BF2646" t="e">
        <f t="shared" ca="1" si="102"/>
        <v>#VALUE!</v>
      </c>
    </row>
    <row r="2647" spans="57:58">
      <c r="BE2647" s="19">
        <f t="shared" si="103"/>
        <v>1.8354166666667939</v>
      </c>
      <c r="BF2647" t="e">
        <f t="shared" ca="1" si="102"/>
        <v>#VALUE!</v>
      </c>
    </row>
    <row r="2648" spans="57:58">
      <c r="BE2648" s="19">
        <f t="shared" si="103"/>
        <v>1.8361111111112385</v>
      </c>
      <c r="BF2648" t="e">
        <f t="shared" ca="1" si="102"/>
        <v>#VALUE!</v>
      </c>
    </row>
    <row r="2649" spans="57:58">
      <c r="BE2649" s="19">
        <f t="shared" si="103"/>
        <v>1.836805555555683</v>
      </c>
      <c r="BF2649" t="e">
        <f t="shared" ca="1" si="102"/>
        <v>#VALUE!</v>
      </c>
    </row>
    <row r="2650" spans="57:58">
      <c r="BE2650" s="19">
        <f t="shared" si="103"/>
        <v>1.8375000000001276</v>
      </c>
      <c r="BF2650" t="e">
        <f t="shared" ca="1" si="102"/>
        <v>#VALUE!</v>
      </c>
    </row>
    <row r="2651" spans="57:58">
      <c r="BE2651" s="19">
        <f t="shared" si="103"/>
        <v>1.8381944444445721</v>
      </c>
      <c r="BF2651" t="e">
        <f t="shared" ca="1" si="102"/>
        <v>#VALUE!</v>
      </c>
    </row>
    <row r="2652" spans="57:58">
      <c r="BE2652" s="19">
        <f t="shared" si="103"/>
        <v>1.8388888888890167</v>
      </c>
      <c r="BF2652" t="e">
        <f t="shared" ca="1" si="102"/>
        <v>#VALUE!</v>
      </c>
    </row>
    <row r="2653" spans="57:58">
      <c r="BE2653" s="19">
        <f t="shared" si="103"/>
        <v>1.8395833333334612</v>
      </c>
      <c r="BF2653" t="e">
        <f t="shared" ca="1" si="102"/>
        <v>#VALUE!</v>
      </c>
    </row>
    <row r="2654" spans="57:58">
      <c r="BE2654" s="19">
        <f t="shared" si="103"/>
        <v>1.8402777777779058</v>
      </c>
      <c r="BF2654" t="e">
        <f t="shared" ca="1" si="102"/>
        <v>#VALUE!</v>
      </c>
    </row>
    <row r="2655" spans="57:58">
      <c r="BE2655" s="19">
        <f t="shared" si="103"/>
        <v>1.8409722222223504</v>
      </c>
      <c r="BF2655" t="e">
        <f t="shared" ca="1" si="102"/>
        <v>#VALUE!</v>
      </c>
    </row>
    <row r="2656" spans="57:58">
      <c r="BE2656" s="19">
        <f t="shared" si="103"/>
        <v>1.8416666666667949</v>
      </c>
      <c r="BF2656" t="e">
        <f t="shared" ca="1" si="102"/>
        <v>#VALUE!</v>
      </c>
    </row>
    <row r="2657" spans="57:58">
      <c r="BE2657" s="19">
        <f t="shared" si="103"/>
        <v>1.8423611111112395</v>
      </c>
      <c r="BF2657" t="e">
        <f t="shared" ca="1" si="102"/>
        <v>#VALUE!</v>
      </c>
    </row>
    <row r="2658" spans="57:58">
      <c r="BE2658" s="19">
        <f t="shared" si="103"/>
        <v>1.843055555555684</v>
      </c>
      <c r="BF2658" t="e">
        <f t="shared" ca="1" si="102"/>
        <v>#VALUE!</v>
      </c>
    </row>
    <row r="2659" spans="57:58">
      <c r="BE2659" s="19">
        <f t="shared" si="103"/>
        <v>1.8437500000001286</v>
      </c>
      <c r="BF2659" t="e">
        <f t="shared" ca="1" si="102"/>
        <v>#VALUE!</v>
      </c>
    </row>
    <row r="2660" spans="57:58">
      <c r="BE2660" s="19">
        <f t="shared" si="103"/>
        <v>1.8444444444445731</v>
      </c>
      <c r="BF2660" t="e">
        <f t="shared" ref="BF2660:BF2723" ca="1" si="104">IF(BE2660&lt;$B$5-1/1440,0,OFFSET($N$4,(BE2660-$B$4)*1440,0,1,1))</f>
        <v>#VALUE!</v>
      </c>
    </row>
    <row r="2661" spans="57:58">
      <c r="BE2661" s="19">
        <f t="shared" si="103"/>
        <v>1.8451388888890177</v>
      </c>
      <c r="BF2661" t="e">
        <f t="shared" ca="1" si="104"/>
        <v>#VALUE!</v>
      </c>
    </row>
    <row r="2662" spans="57:58">
      <c r="BE2662" s="19">
        <f t="shared" si="103"/>
        <v>1.8458333333334622</v>
      </c>
      <c r="BF2662" t="e">
        <f t="shared" ca="1" si="104"/>
        <v>#VALUE!</v>
      </c>
    </row>
    <row r="2663" spans="57:58">
      <c r="BE2663" s="19">
        <f t="shared" si="103"/>
        <v>1.8465277777779068</v>
      </c>
      <c r="BF2663" t="e">
        <f t="shared" ca="1" si="104"/>
        <v>#VALUE!</v>
      </c>
    </row>
    <row r="2664" spans="57:58">
      <c r="BE2664" s="19">
        <f t="shared" si="103"/>
        <v>1.8472222222223513</v>
      </c>
      <c r="BF2664" t="e">
        <f t="shared" ca="1" si="104"/>
        <v>#VALUE!</v>
      </c>
    </row>
    <row r="2665" spans="57:58">
      <c r="BE2665" s="19">
        <f t="shared" si="103"/>
        <v>1.8479166666667959</v>
      </c>
      <c r="BF2665" t="e">
        <f t="shared" ca="1" si="104"/>
        <v>#VALUE!</v>
      </c>
    </row>
    <row r="2666" spans="57:58">
      <c r="BE2666" s="19">
        <f t="shared" si="103"/>
        <v>1.8486111111112404</v>
      </c>
      <c r="BF2666" t="e">
        <f t="shared" ca="1" si="104"/>
        <v>#VALUE!</v>
      </c>
    </row>
    <row r="2667" spans="57:58">
      <c r="BE2667" s="19">
        <f t="shared" si="103"/>
        <v>1.849305555555685</v>
      </c>
      <c r="BF2667" t="e">
        <f t="shared" ca="1" si="104"/>
        <v>#VALUE!</v>
      </c>
    </row>
    <row r="2668" spans="57:58">
      <c r="BE2668" s="19">
        <f t="shared" si="103"/>
        <v>1.8500000000001295</v>
      </c>
      <c r="BF2668" t="e">
        <f t="shared" ca="1" si="104"/>
        <v>#VALUE!</v>
      </c>
    </row>
    <row r="2669" spans="57:58">
      <c r="BE2669" s="19">
        <f t="shared" si="103"/>
        <v>1.8506944444445741</v>
      </c>
      <c r="BF2669" t="e">
        <f t="shared" ca="1" si="104"/>
        <v>#VALUE!</v>
      </c>
    </row>
    <row r="2670" spans="57:58">
      <c r="BE2670" s="19">
        <f t="shared" si="103"/>
        <v>1.8513888888890186</v>
      </c>
      <c r="BF2670" t="e">
        <f t="shared" ca="1" si="104"/>
        <v>#VALUE!</v>
      </c>
    </row>
    <row r="2671" spans="57:58">
      <c r="BE2671" s="19">
        <f t="shared" si="103"/>
        <v>1.8520833333334632</v>
      </c>
      <c r="BF2671" t="e">
        <f t="shared" ca="1" si="104"/>
        <v>#VALUE!</v>
      </c>
    </row>
    <row r="2672" spans="57:58">
      <c r="BE2672" s="19">
        <f t="shared" si="103"/>
        <v>1.8527777777779078</v>
      </c>
      <c r="BF2672" t="e">
        <f t="shared" ca="1" si="104"/>
        <v>#VALUE!</v>
      </c>
    </row>
    <row r="2673" spans="57:58">
      <c r="BE2673" s="19">
        <f t="shared" si="103"/>
        <v>1.8534722222223523</v>
      </c>
      <c r="BF2673" t="e">
        <f t="shared" ca="1" si="104"/>
        <v>#VALUE!</v>
      </c>
    </row>
    <row r="2674" spans="57:58">
      <c r="BE2674" s="19">
        <f t="shared" si="103"/>
        <v>1.8541666666667969</v>
      </c>
      <c r="BF2674" t="e">
        <f t="shared" ca="1" si="104"/>
        <v>#VALUE!</v>
      </c>
    </row>
    <row r="2675" spans="57:58">
      <c r="BE2675" s="19">
        <f t="shared" si="103"/>
        <v>1.8548611111112414</v>
      </c>
      <c r="BF2675" t="e">
        <f t="shared" ca="1" si="104"/>
        <v>#VALUE!</v>
      </c>
    </row>
    <row r="2676" spans="57:58">
      <c r="BE2676" s="19">
        <f t="shared" si="103"/>
        <v>1.855555555555686</v>
      </c>
      <c r="BF2676" t="e">
        <f t="shared" ca="1" si="104"/>
        <v>#VALUE!</v>
      </c>
    </row>
    <row r="2677" spans="57:58">
      <c r="BE2677" s="19">
        <f t="shared" si="103"/>
        <v>1.8562500000001305</v>
      </c>
      <c r="BF2677" t="e">
        <f t="shared" ca="1" si="104"/>
        <v>#VALUE!</v>
      </c>
    </row>
    <row r="2678" spans="57:58">
      <c r="BE2678" s="19">
        <f t="shared" si="103"/>
        <v>1.8569444444445751</v>
      </c>
      <c r="BF2678" t="e">
        <f t="shared" ca="1" si="104"/>
        <v>#VALUE!</v>
      </c>
    </row>
    <row r="2679" spans="57:58">
      <c r="BE2679" s="19">
        <f t="shared" si="103"/>
        <v>1.8576388888890196</v>
      </c>
      <c r="BF2679" t="e">
        <f t="shared" ca="1" si="104"/>
        <v>#VALUE!</v>
      </c>
    </row>
    <row r="2680" spans="57:58">
      <c r="BE2680" s="19">
        <f t="shared" si="103"/>
        <v>1.8583333333334642</v>
      </c>
      <c r="BF2680" t="e">
        <f t="shared" ca="1" si="104"/>
        <v>#VALUE!</v>
      </c>
    </row>
    <row r="2681" spans="57:58">
      <c r="BE2681" s="19">
        <f t="shared" si="103"/>
        <v>1.8590277777779087</v>
      </c>
      <c r="BF2681" t="e">
        <f t="shared" ca="1" si="104"/>
        <v>#VALUE!</v>
      </c>
    </row>
    <row r="2682" spans="57:58">
      <c r="BE2682" s="19">
        <f t="shared" si="103"/>
        <v>1.8597222222223533</v>
      </c>
      <c r="BF2682" t="e">
        <f t="shared" ca="1" si="104"/>
        <v>#VALUE!</v>
      </c>
    </row>
    <row r="2683" spans="57:58">
      <c r="BE2683" s="19">
        <f t="shared" si="103"/>
        <v>1.8604166666667978</v>
      </c>
      <c r="BF2683" t="e">
        <f t="shared" ca="1" si="104"/>
        <v>#VALUE!</v>
      </c>
    </row>
    <row r="2684" spans="57:58">
      <c r="BE2684" s="19">
        <f t="shared" si="103"/>
        <v>1.8611111111112424</v>
      </c>
      <c r="BF2684" t="e">
        <f t="shared" ca="1" si="104"/>
        <v>#VALUE!</v>
      </c>
    </row>
    <row r="2685" spans="57:58">
      <c r="BE2685" s="19">
        <f t="shared" si="103"/>
        <v>1.8618055555556869</v>
      </c>
      <c r="BF2685" t="e">
        <f t="shared" ca="1" si="104"/>
        <v>#VALUE!</v>
      </c>
    </row>
    <row r="2686" spans="57:58">
      <c r="BE2686" s="19">
        <f t="shared" si="103"/>
        <v>1.8625000000001315</v>
      </c>
      <c r="BF2686" t="e">
        <f t="shared" ca="1" si="104"/>
        <v>#VALUE!</v>
      </c>
    </row>
    <row r="2687" spans="57:58">
      <c r="BE2687" s="19">
        <f t="shared" si="103"/>
        <v>1.863194444444576</v>
      </c>
      <c r="BF2687" t="e">
        <f t="shared" ca="1" si="104"/>
        <v>#VALUE!</v>
      </c>
    </row>
    <row r="2688" spans="57:58">
      <c r="BE2688" s="19">
        <f t="shared" si="103"/>
        <v>1.8638888888890206</v>
      </c>
      <c r="BF2688" t="e">
        <f t="shared" ca="1" si="104"/>
        <v>#VALUE!</v>
      </c>
    </row>
    <row r="2689" spans="57:58">
      <c r="BE2689" s="19">
        <f t="shared" si="103"/>
        <v>1.8645833333334652</v>
      </c>
      <c r="BF2689" t="e">
        <f t="shared" ca="1" si="104"/>
        <v>#VALUE!</v>
      </c>
    </row>
    <row r="2690" spans="57:58">
      <c r="BE2690" s="19">
        <f t="shared" si="103"/>
        <v>1.8652777777779097</v>
      </c>
      <c r="BF2690" t="e">
        <f t="shared" ca="1" si="104"/>
        <v>#VALUE!</v>
      </c>
    </row>
    <row r="2691" spans="57:58">
      <c r="BE2691" s="19">
        <f t="shared" si="103"/>
        <v>1.8659722222223543</v>
      </c>
      <c r="BF2691" t="e">
        <f t="shared" ca="1" si="104"/>
        <v>#VALUE!</v>
      </c>
    </row>
    <row r="2692" spans="57:58">
      <c r="BE2692" s="19">
        <f t="shared" si="103"/>
        <v>1.8666666666667988</v>
      </c>
      <c r="BF2692" t="e">
        <f t="shared" ca="1" si="104"/>
        <v>#VALUE!</v>
      </c>
    </row>
    <row r="2693" spans="57:58">
      <c r="BE2693" s="19">
        <f t="shared" si="103"/>
        <v>1.8673611111112434</v>
      </c>
      <c r="BF2693" t="e">
        <f t="shared" ca="1" si="104"/>
        <v>#VALUE!</v>
      </c>
    </row>
    <row r="2694" spans="57:58">
      <c r="BE2694" s="19">
        <f t="shared" ref="BE2694:BE2757" si="105">BE2693+1/1440</f>
        <v>1.8680555555556879</v>
      </c>
      <c r="BF2694" t="e">
        <f t="shared" ca="1" si="104"/>
        <v>#VALUE!</v>
      </c>
    </row>
    <row r="2695" spans="57:58">
      <c r="BE2695" s="19">
        <f t="shared" si="105"/>
        <v>1.8687500000001325</v>
      </c>
      <c r="BF2695" t="e">
        <f t="shared" ca="1" si="104"/>
        <v>#VALUE!</v>
      </c>
    </row>
    <row r="2696" spans="57:58">
      <c r="BE2696" s="19">
        <f t="shared" si="105"/>
        <v>1.869444444444577</v>
      </c>
      <c r="BF2696" t="e">
        <f t="shared" ca="1" si="104"/>
        <v>#VALUE!</v>
      </c>
    </row>
    <row r="2697" spans="57:58">
      <c r="BE2697" s="19">
        <f t="shared" si="105"/>
        <v>1.8701388888890216</v>
      </c>
      <c r="BF2697" t="e">
        <f t="shared" ca="1" si="104"/>
        <v>#VALUE!</v>
      </c>
    </row>
    <row r="2698" spans="57:58">
      <c r="BE2698" s="19">
        <f t="shared" si="105"/>
        <v>1.8708333333334661</v>
      </c>
      <c r="BF2698" t="e">
        <f t="shared" ca="1" si="104"/>
        <v>#VALUE!</v>
      </c>
    </row>
    <row r="2699" spans="57:58">
      <c r="BE2699" s="19">
        <f t="shared" si="105"/>
        <v>1.8715277777779107</v>
      </c>
      <c r="BF2699" t="e">
        <f t="shared" ca="1" si="104"/>
        <v>#VALUE!</v>
      </c>
    </row>
    <row r="2700" spans="57:58">
      <c r="BE2700" s="19">
        <f t="shared" si="105"/>
        <v>1.8722222222223552</v>
      </c>
      <c r="BF2700" t="e">
        <f t="shared" ca="1" si="104"/>
        <v>#VALUE!</v>
      </c>
    </row>
    <row r="2701" spans="57:58">
      <c r="BE2701" s="19">
        <f t="shared" si="105"/>
        <v>1.8729166666667998</v>
      </c>
      <c r="BF2701" t="e">
        <f t="shared" ca="1" si="104"/>
        <v>#VALUE!</v>
      </c>
    </row>
    <row r="2702" spans="57:58">
      <c r="BE2702" s="19">
        <f t="shared" si="105"/>
        <v>1.8736111111112443</v>
      </c>
      <c r="BF2702" t="e">
        <f t="shared" ca="1" si="104"/>
        <v>#VALUE!</v>
      </c>
    </row>
    <row r="2703" spans="57:58">
      <c r="BE2703" s="19">
        <f t="shared" si="105"/>
        <v>1.8743055555556889</v>
      </c>
      <c r="BF2703" t="e">
        <f t="shared" ca="1" si="104"/>
        <v>#VALUE!</v>
      </c>
    </row>
    <row r="2704" spans="57:58">
      <c r="BE2704" s="19">
        <f t="shared" si="105"/>
        <v>1.8750000000001334</v>
      </c>
      <c r="BF2704" t="e">
        <f t="shared" ca="1" si="104"/>
        <v>#VALUE!</v>
      </c>
    </row>
    <row r="2705" spans="57:58">
      <c r="BE2705" s="19">
        <f t="shared" si="105"/>
        <v>1.875694444444578</v>
      </c>
      <c r="BF2705" t="e">
        <f t="shared" ca="1" si="104"/>
        <v>#VALUE!</v>
      </c>
    </row>
    <row r="2706" spans="57:58">
      <c r="BE2706" s="19">
        <f t="shared" si="105"/>
        <v>1.8763888888890226</v>
      </c>
      <c r="BF2706" t="e">
        <f t="shared" ca="1" si="104"/>
        <v>#VALUE!</v>
      </c>
    </row>
    <row r="2707" spans="57:58">
      <c r="BE2707" s="19">
        <f t="shared" si="105"/>
        <v>1.8770833333334671</v>
      </c>
      <c r="BF2707" t="e">
        <f t="shared" ca="1" si="104"/>
        <v>#VALUE!</v>
      </c>
    </row>
    <row r="2708" spans="57:58">
      <c r="BE2708" s="19">
        <f t="shared" si="105"/>
        <v>1.8777777777779117</v>
      </c>
      <c r="BF2708" t="e">
        <f t="shared" ca="1" si="104"/>
        <v>#VALUE!</v>
      </c>
    </row>
    <row r="2709" spans="57:58">
      <c r="BE2709" s="19">
        <f t="shared" si="105"/>
        <v>1.8784722222223562</v>
      </c>
      <c r="BF2709" t="e">
        <f t="shared" ca="1" si="104"/>
        <v>#VALUE!</v>
      </c>
    </row>
    <row r="2710" spans="57:58">
      <c r="BE2710" s="19">
        <f t="shared" si="105"/>
        <v>1.8791666666668008</v>
      </c>
      <c r="BF2710" t="e">
        <f t="shared" ca="1" si="104"/>
        <v>#VALUE!</v>
      </c>
    </row>
    <row r="2711" spans="57:58">
      <c r="BE2711" s="19">
        <f t="shared" si="105"/>
        <v>1.8798611111112453</v>
      </c>
      <c r="BF2711" t="e">
        <f t="shared" ca="1" si="104"/>
        <v>#VALUE!</v>
      </c>
    </row>
    <row r="2712" spans="57:58">
      <c r="BE2712" s="19">
        <f t="shared" si="105"/>
        <v>1.8805555555556899</v>
      </c>
      <c r="BF2712" t="e">
        <f t="shared" ca="1" si="104"/>
        <v>#VALUE!</v>
      </c>
    </row>
    <row r="2713" spans="57:58">
      <c r="BE2713" s="19">
        <f t="shared" si="105"/>
        <v>1.8812500000001344</v>
      </c>
      <c r="BF2713" t="e">
        <f t="shared" ca="1" si="104"/>
        <v>#VALUE!</v>
      </c>
    </row>
    <row r="2714" spans="57:58">
      <c r="BE2714" s="19">
        <f t="shared" si="105"/>
        <v>1.881944444444579</v>
      </c>
      <c r="BF2714" t="e">
        <f t="shared" ca="1" si="104"/>
        <v>#VALUE!</v>
      </c>
    </row>
    <row r="2715" spans="57:58">
      <c r="BE2715" s="19">
        <f t="shared" si="105"/>
        <v>1.8826388888890235</v>
      </c>
      <c r="BF2715" t="e">
        <f t="shared" ca="1" si="104"/>
        <v>#VALUE!</v>
      </c>
    </row>
    <row r="2716" spans="57:58">
      <c r="BE2716" s="19">
        <f t="shared" si="105"/>
        <v>1.8833333333334681</v>
      </c>
      <c r="BF2716" t="e">
        <f t="shared" ca="1" si="104"/>
        <v>#VALUE!</v>
      </c>
    </row>
    <row r="2717" spans="57:58">
      <c r="BE2717" s="19">
        <f t="shared" si="105"/>
        <v>1.8840277777779126</v>
      </c>
      <c r="BF2717" t="e">
        <f t="shared" ca="1" si="104"/>
        <v>#VALUE!</v>
      </c>
    </row>
    <row r="2718" spans="57:58">
      <c r="BE2718" s="19">
        <f t="shared" si="105"/>
        <v>1.8847222222223572</v>
      </c>
      <c r="BF2718" t="e">
        <f t="shared" ca="1" si="104"/>
        <v>#VALUE!</v>
      </c>
    </row>
    <row r="2719" spans="57:58">
      <c r="BE2719" s="19">
        <f t="shared" si="105"/>
        <v>1.8854166666668017</v>
      </c>
      <c r="BF2719" t="e">
        <f t="shared" ca="1" si="104"/>
        <v>#VALUE!</v>
      </c>
    </row>
    <row r="2720" spans="57:58">
      <c r="BE2720" s="19">
        <f t="shared" si="105"/>
        <v>1.8861111111112463</v>
      </c>
      <c r="BF2720" t="e">
        <f t="shared" ca="1" si="104"/>
        <v>#VALUE!</v>
      </c>
    </row>
    <row r="2721" spans="57:58">
      <c r="BE2721" s="19">
        <f t="shared" si="105"/>
        <v>1.8868055555556908</v>
      </c>
      <c r="BF2721" t="e">
        <f t="shared" ca="1" si="104"/>
        <v>#VALUE!</v>
      </c>
    </row>
    <row r="2722" spans="57:58">
      <c r="BE2722" s="19">
        <f t="shared" si="105"/>
        <v>1.8875000000001354</v>
      </c>
      <c r="BF2722" t="e">
        <f t="shared" ca="1" si="104"/>
        <v>#VALUE!</v>
      </c>
    </row>
    <row r="2723" spans="57:58">
      <c r="BE2723" s="19">
        <f t="shared" si="105"/>
        <v>1.88819444444458</v>
      </c>
      <c r="BF2723" t="e">
        <f t="shared" ca="1" si="104"/>
        <v>#VALUE!</v>
      </c>
    </row>
    <row r="2724" spans="57:58">
      <c r="BE2724" s="19">
        <f t="shared" si="105"/>
        <v>1.8888888888890245</v>
      </c>
      <c r="BF2724" t="e">
        <f t="shared" ref="BF2724:BF2787" ca="1" si="106">IF(BE2724&lt;$B$5-1/1440,0,OFFSET($N$4,(BE2724-$B$4)*1440,0,1,1))</f>
        <v>#VALUE!</v>
      </c>
    </row>
    <row r="2725" spans="57:58">
      <c r="BE2725" s="19">
        <f t="shared" si="105"/>
        <v>1.8895833333334691</v>
      </c>
      <c r="BF2725" t="e">
        <f t="shared" ca="1" si="106"/>
        <v>#VALUE!</v>
      </c>
    </row>
    <row r="2726" spans="57:58">
      <c r="BE2726" s="19">
        <f t="shared" si="105"/>
        <v>1.8902777777779136</v>
      </c>
      <c r="BF2726" t="e">
        <f t="shared" ca="1" si="106"/>
        <v>#VALUE!</v>
      </c>
    </row>
    <row r="2727" spans="57:58">
      <c r="BE2727" s="19">
        <f t="shared" si="105"/>
        <v>1.8909722222223582</v>
      </c>
      <c r="BF2727" t="e">
        <f t="shared" ca="1" si="106"/>
        <v>#VALUE!</v>
      </c>
    </row>
    <row r="2728" spans="57:58">
      <c r="BE2728" s="19">
        <f t="shared" si="105"/>
        <v>1.8916666666668027</v>
      </c>
      <c r="BF2728" t="e">
        <f t="shared" ca="1" si="106"/>
        <v>#VALUE!</v>
      </c>
    </row>
    <row r="2729" spans="57:58">
      <c r="BE2729" s="19">
        <f t="shared" si="105"/>
        <v>1.8923611111112473</v>
      </c>
      <c r="BF2729" t="e">
        <f t="shared" ca="1" si="106"/>
        <v>#VALUE!</v>
      </c>
    </row>
    <row r="2730" spans="57:58">
      <c r="BE2730" s="19">
        <f t="shared" si="105"/>
        <v>1.8930555555556918</v>
      </c>
      <c r="BF2730" t="e">
        <f t="shared" ca="1" si="106"/>
        <v>#VALUE!</v>
      </c>
    </row>
    <row r="2731" spans="57:58">
      <c r="BE2731" s="19">
        <f t="shared" si="105"/>
        <v>1.8937500000001364</v>
      </c>
      <c r="BF2731" t="e">
        <f t="shared" ca="1" si="106"/>
        <v>#VALUE!</v>
      </c>
    </row>
    <row r="2732" spans="57:58">
      <c r="BE2732" s="19">
        <f t="shared" si="105"/>
        <v>1.8944444444445809</v>
      </c>
      <c r="BF2732" t="e">
        <f t="shared" ca="1" si="106"/>
        <v>#VALUE!</v>
      </c>
    </row>
    <row r="2733" spans="57:58">
      <c r="BE2733" s="19">
        <f t="shared" si="105"/>
        <v>1.8951388888890255</v>
      </c>
      <c r="BF2733" t="e">
        <f t="shared" ca="1" si="106"/>
        <v>#VALUE!</v>
      </c>
    </row>
    <row r="2734" spans="57:58">
      <c r="BE2734" s="19">
        <f t="shared" si="105"/>
        <v>1.89583333333347</v>
      </c>
      <c r="BF2734" t="e">
        <f t="shared" ca="1" si="106"/>
        <v>#VALUE!</v>
      </c>
    </row>
    <row r="2735" spans="57:58">
      <c r="BE2735" s="19">
        <f t="shared" si="105"/>
        <v>1.8965277777779146</v>
      </c>
      <c r="BF2735" t="e">
        <f t="shared" ca="1" si="106"/>
        <v>#VALUE!</v>
      </c>
    </row>
    <row r="2736" spans="57:58">
      <c r="BE2736" s="19">
        <f t="shared" si="105"/>
        <v>1.8972222222223591</v>
      </c>
      <c r="BF2736" t="e">
        <f t="shared" ca="1" si="106"/>
        <v>#VALUE!</v>
      </c>
    </row>
    <row r="2737" spans="57:58">
      <c r="BE2737" s="19">
        <f t="shared" si="105"/>
        <v>1.8979166666668037</v>
      </c>
      <c r="BF2737" t="e">
        <f t="shared" ca="1" si="106"/>
        <v>#VALUE!</v>
      </c>
    </row>
    <row r="2738" spans="57:58">
      <c r="BE2738" s="19">
        <f t="shared" si="105"/>
        <v>1.8986111111112483</v>
      </c>
      <c r="BF2738" t="e">
        <f t="shared" ca="1" si="106"/>
        <v>#VALUE!</v>
      </c>
    </row>
    <row r="2739" spans="57:58">
      <c r="BE2739" s="19">
        <f t="shared" si="105"/>
        <v>1.8993055555556928</v>
      </c>
      <c r="BF2739" t="e">
        <f t="shared" ca="1" si="106"/>
        <v>#VALUE!</v>
      </c>
    </row>
    <row r="2740" spans="57:58">
      <c r="BE2740" s="19">
        <f t="shared" si="105"/>
        <v>1.9000000000001374</v>
      </c>
      <c r="BF2740" t="e">
        <f t="shared" ca="1" si="106"/>
        <v>#VALUE!</v>
      </c>
    </row>
    <row r="2741" spans="57:58">
      <c r="BE2741" s="19">
        <f t="shared" si="105"/>
        <v>1.9006944444445819</v>
      </c>
      <c r="BF2741" t="e">
        <f t="shared" ca="1" si="106"/>
        <v>#VALUE!</v>
      </c>
    </row>
    <row r="2742" spans="57:58">
      <c r="BE2742" s="19">
        <f t="shared" si="105"/>
        <v>1.9013888888890265</v>
      </c>
      <c r="BF2742" t="e">
        <f t="shared" ca="1" si="106"/>
        <v>#VALUE!</v>
      </c>
    </row>
    <row r="2743" spans="57:58">
      <c r="BE2743" s="19">
        <f t="shared" si="105"/>
        <v>1.902083333333471</v>
      </c>
      <c r="BF2743" t="e">
        <f t="shared" ca="1" si="106"/>
        <v>#VALUE!</v>
      </c>
    </row>
    <row r="2744" spans="57:58">
      <c r="BE2744" s="19">
        <f t="shared" si="105"/>
        <v>1.9027777777779156</v>
      </c>
      <c r="BF2744" t="e">
        <f t="shared" ca="1" si="106"/>
        <v>#VALUE!</v>
      </c>
    </row>
    <row r="2745" spans="57:58">
      <c r="BE2745" s="19">
        <f t="shared" si="105"/>
        <v>1.9034722222223601</v>
      </c>
      <c r="BF2745" t="e">
        <f t="shared" ca="1" si="106"/>
        <v>#VALUE!</v>
      </c>
    </row>
    <row r="2746" spans="57:58">
      <c r="BE2746" s="19">
        <f t="shared" si="105"/>
        <v>1.9041666666668047</v>
      </c>
      <c r="BF2746" t="e">
        <f t="shared" ca="1" si="106"/>
        <v>#VALUE!</v>
      </c>
    </row>
    <row r="2747" spans="57:58">
      <c r="BE2747" s="19">
        <f t="shared" si="105"/>
        <v>1.9048611111112492</v>
      </c>
      <c r="BF2747" t="e">
        <f t="shared" ca="1" si="106"/>
        <v>#VALUE!</v>
      </c>
    </row>
    <row r="2748" spans="57:58">
      <c r="BE2748" s="19">
        <f t="shared" si="105"/>
        <v>1.9055555555556938</v>
      </c>
      <c r="BF2748" t="e">
        <f t="shared" ca="1" si="106"/>
        <v>#VALUE!</v>
      </c>
    </row>
    <row r="2749" spans="57:58">
      <c r="BE2749" s="19">
        <f t="shared" si="105"/>
        <v>1.9062500000001383</v>
      </c>
      <c r="BF2749" t="e">
        <f t="shared" ca="1" si="106"/>
        <v>#VALUE!</v>
      </c>
    </row>
    <row r="2750" spans="57:58">
      <c r="BE2750" s="19">
        <f t="shared" si="105"/>
        <v>1.9069444444445829</v>
      </c>
      <c r="BF2750" t="e">
        <f t="shared" ca="1" si="106"/>
        <v>#VALUE!</v>
      </c>
    </row>
    <row r="2751" spans="57:58">
      <c r="BE2751" s="19">
        <f t="shared" si="105"/>
        <v>1.9076388888890274</v>
      </c>
      <c r="BF2751" t="e">
        <f t="shared" ca="1" si="106"/>
        <v>#VALUE!</v>
      </c>
    </row>
    <row r="2752" spans="57:58">
      <c r="BE2752" s="19">
        <f t="shared" si="105"/>
        <v>1.908333333333472</v>
      </c>
      <c r="BF2752" t="e">
        <f t="shared" ca="1" si="106"/>
        <v>#VALUE!</v>
      </c>
    </row>
    <row r="2753" spans="57:58">
      <c r="BE2753" s="19">
        <f t="shared" si="105"/>
        <v>1.9090277777779165</v>
      </c>
      <c r="BF2753" t="e">
        <f t="shared" ca="1" si="106"/>
        <v>#VALUE!</v>
      </c>
    </row>
    <row r="2754" spans="57:58">
      <c r="BE2754" s="19">
        <f t="shared" si="105"/>
        <v>1.9097222222223611</v>
      </c>
      <c r="BF2754" t="e">
        <f t="shared" ca="1" si="106"/>
        <v>#VALUE!</v>
      </c>
    </row>
    <row r="2755" spans="57:58">
      <c r="BE2755" s="19">
        <f t="shared" si="105"/>
        <v>1.9104166666668057</v>
      </c>
      <c r="BF2755" t="e">
        <f t="shared" ca="1" si="106"/>
        <v>#VALUE!</v>
      </c>
    </row>
    <row r="2756" spans="57:58">
      <c r="BE2756" s="19">
        <f t="shared" si="105"/>
        <v>1.9111111111112502</v>
      </c>
      <c r="BF2756" t="e">
        <f t="shared" ca="1" si="106"/>
        <v>#VALUE!</v>
      </c>
    </row>
    <row r="2757" spans="57:58">
      <c r="BE2757" s="19">
        <f t="shared" si="105"/>
        <v>1.9118055555556948</v>
      </c>
      <c r="BF2757" t="e">
        <f t="shared" ca="1" si="106"/>
        <v>#VALUE!</v>
      </c>
    </row>
    <row r="2758" spans="57:58">
      <c r="BE2758" s="19">
        <f t="shared" ref="BE2758:BE2821" si="107">BE2757+1/1440</f>
        <v>1.9125000000001393</v>
      </c>
      <c r="BF2758" t="e">
        <f t="shared" ca="1" si="106"/>
        <v>#VALUE!</v>
      </c>
    </row>
    <row r="2759" spans="57:58">
      <c r="BE2759" s="19">
        <f t="shared" si="107"/>
        <v>1.9131944444445839</v>
      </c>
      <c r="BF2759" t="e">
        <f t="shared" ca="1" si="106"/>
        <v>#VALUE!</v>
      </c>
    </row>
    <row r="2760" spans="57:58">
      <c r="BE2760" s="19">
        <f t="shared" si="107"/>
        <v>1.9138888888890284</v>
      </c>
      <c r="BF2760" t="e">
        <f t="shared" ca="1" si="106"/>
        <v>#VALUE!</v>
      </c>
    </row>
    <row r="2761" spans="57:58">
      <c r="BE2761" s="19">
        <f t="shared" si="107"/>
        <v>1.914583333333473</v>
      </c>
      <c r="BF2761" t="e">
        <f t="shared" ca="1" si="106"/>
        <v>#VALUE!</v>
      </c>
    </row>
    <row r="2762" spans="57:58">
      <c r="BE2762" s="19">
        <f t="shared" si="107"/>
        <v>1.9152777777779175</v>
      </c>
      <c r="BF2762" t="e">
        <f t="shared" ca="1" si="106"/>
        <v>#VALUE!</v>
      </c>
    </row>
    <row r="2763" spans="57:58">
      <c r="BE2763" s="19">
        <f t="shared" si="107"/>
        <v>1.9159722222223621</v>
      </c>
      <c r="BF2763" t="e">
        <f t="shared" ca="1" si="106"/>
        <v>#VALUE!</v>
      </c>
    </row>
    <row r="2764" spans="57:58">
      <c r="BE2764" s="19">
        <f t="shared" si="107"/>
        <v>1.9166666666668066</v>
      </c>
      <c r="BF2764" t="e">
        <f t="shared" ca="1" si="106"/>
        <v>#VALUE!</v>
      </c>
    </row>
    <row r="2765" spans="57:58">
      <c r="BE2765" s="19">
        <f t="shared" si="107"/>
        <v>1.9173611111112512</v>
      </c>
      <c r="BF2765" t="e">
        <f t="shared" ca="1" si="106"/>
        <v>#VALUE!</v>
      </c>
    </row>
    <row r="2766" spans="57:58">
      <c r="BE2766" s="19">
        <f t="shared" si="107"/>
        <v>1.9180555555556957</v>
      </c>
      <c r="BF2766" t="e">
        <f t="shared" ca="1" si="106"/>
        <v>#VALUE!</v>
      </c>
    </row>
    <row r="2767" spans="57:58">
      <c r="BE2767" s="19">
        <f t="shared" si="107"/>
        <v>1.9187500000001403</v>
      </c>
      <c r="BF2767" t="e">
        <f t="shared" ca="1" si="106"/>
        <v>#VALUE!</v>
      </c>
    </row>
    <row r="2768" spans="57:58">
      <c r="BE2768" s="19">
        <f t="shared" si="107"/>
        <v>1.9194444444445848</v>
      </c>
      <c r="BF2768" t="e">
        <f t="shared" ca="1" si="106"/>
        <v>#VALUE!</v>
      </c>
    </row>
    <row r="2769" spans="57:58">
      <c r="BE2769" s="19">
        <f t="shared" si="107"/>
        <v>1.9201388888890294</v>
      </c>
      <c r="BF2769" t="e">
        <f t="shared" ca="1" si="106"/>
        <v>#VALUE!</v>
      </c>
    </row>
    <row r="2770" spans="57:58">
      <c r="BE2770" s="19">
        <f t="shared" si="107"/>
        <v>1.9208333333334739</v>
      </c>
      <c r="BF2770" t="e">
        <f t="shared" ca="1" si="106"/>
        <v>#VALUE!</v>
      </c>
    </row>
    <row r="2771" spans="57:58">
      <c r="BE2771" s="19">
        <f t="shared" si="107"/>
        <v>1.9215277777779185</v>
      </c>
      <c r="BF2771" t="e">
        <f t="shared" ca="1" si="106"/>
        <v>#VALUE!</v>
      </c>
    </row>
    <row r="2772" spans="57:58">
      <c r="BE2772" s="19">
        <f t="shared" si="107"/>
        <v>1.9222222222223631</v>
      </c>
      <c r="BF2772" t="e">
        <f t="shared" ca="1" si="106"/>
        <v>#VALUE!</v>
      </c>
    </row>
    <row r="2773" spans="57:58">
      <c r="BE2773" s="19">
        <f t="shared" si="107"/>
        <v>1.9229166666668076</v>
      </c>
      <c r="BF2773" t="e">
        <f t="shared" ca="1" si="106"/>
        <v>#VALUE!</v>
      </c>
    </row>
    <row r="2774" spans="57:58">
      <c r="BE2774" s="19">
        <f t="shared" si="107"/>
        <v>1.9236111111112522</v>
      </c>
      <c r="BF2774" t="e">
        <f t="shared" ca="1" si="106"/>
        <v>#VALUE!</v>
      </c>
    </row>
    <row r="2775" spans="57:58">
      <c r="BE2775" s="19">
        <f t="shared" si="107"/>
        <v>1.9243055555556967</v>
      </c>
      <c r="BF2775" t="e">
        <f t="shared" ca="1" si="106"/>
        <v>#VALUE!</v>
      </c>
    </row>
    <row r="2776" spans="57:58">
      <c r="BE2776" s="19">
        <f t="shared" si="107"/>
        <v>1.9250000000001413</v>
      </c>
      <c r="BF2776" t="e">
        <f t="shared" ca="1" si="106"/>
        <v>#VALUE!</v>
      </c>
    </row>
    <row r="2777" spans="57:58">
      <c r="BE2777" s="19">
        <f t="shared" si="107"/>
        <v>1.9256944444445858</v>
      </c>
      <c r="BF2777" t="e">
        <f t="shared" ca="1" si="106"/>
        <v>#VALUE!</v>
      </c>
    </row>
    <row r="2778" spans="57:58">
      <c r="BE2778" s="19">
        <f t="shared" si="107"/>
        <v>1.9263888888890304</v>
      </c>
      <c r="BF2778" t="e">
        <f t="shared" ca="1" si="106"/>
        <v>#VALUE!</v>
      </c>
    </row>
    <row r="2779" spans="57:58">
      <c r="BE2779" s="19">
        <f t="shared" si="107"/>
        <v>1.9270833333334749</v>
      </c>
      <c r="BF2779" t="e">
        <f t="shared" ca="1" si="106"/>
        <v>#VALUE!</v>
      </c>
    </row>
    <row r="2780" spans="57:58">
      <c r="BE2780" s="19">
        <f t="shared" si="107"/>
        <v>1.9277777777779195</v>
      </c>
      <c r="BF2780" t="e">
        <f t="shared" ca="1" si="106"/>
        <v>#VALUE!</v>
      </c>
    </row>
    <row r="2781" spans="57:58">
      <c r="BE2781" s="19">
        <f t="shared" si="107"/>
        <v>1.928472222222364</v>
      </c>
      <c r="BF2781" t="e">
        <f t="shared" ca="1" si="106"/>
        <v>#VALUE!</v>
      </c>
    </row>
    <row r="2782" spans="57:58">
      <c r="BE2782" s="19">
        <f t="shared" si="107"/>
        <v>1.9291666666668086</v>
      </c>
      <c r="BF2782" t="e">
        <f t="shared" ca="1" si="106"/>
        <v>#VALUE!</v>
      </c>
    </row>
    <row r="2783" spans="57:58">
      <c r="BE2783" s="19">
        <f t="shared" si="107"/>
        <v>1.9298611111112531</v>
      </c>
      <c r="BF2783" t="e">
        <f t="shared" ca="1" si="106"/>
        <v>#VALUE!</v>
      </c>
    </row>
    <row r="2784" spans="57:58">
      <c r="BE2784" s="19">
        <f t="shared" si="107"/>
        <v>1.9305555555556977</v>
      </c>
      <c r="BF2784" t="e">
        <f t="shared" ca="1" si="106"/>
        <v>#VALUE!</v>
      </c>
    </row>
    <row r="2785" spans="57:58">
      <c r="BE2785" s="19">
        <f t="shared" si="107"/>
        <v>1.9312500000001422</v>
      </c>
      <c r="BF2785" t="e">
        <f t="shared" ca="1" si="106"/>
        <v>#VALUE!</v>
      </c>
    </row>
    <row r="2786" spans="57:58">
      <c r="BE2786" s="19">
        <f t="shared" si="107"/>
        <v>1.9319444444445868</v>
      </c>
      <c r="BF2786" t="e">
        <f t="shared" ca="1" si="106"/>
        <v>#VALUE!</v>
      </c>
    </row>
    <row r="2787" spans="57:58">
      <c r="BE2787" s="19">
        <f t="shared" si="107"/>
        <v>1.9326388888890313</v>
      </c>
      <c r="BF2787" t="e">
        <f t="shared" ca="1" si="106"/>
        <v>#VALUE!</v>
      </c>
    </row>
    <row r="2788" spans="57:58">
      <c r="BE2788" s="19">
        <f t="shared" si="107"/>
        <v>1.9333333333334759</v>
      </c>
      <c r="BF2788" t="e">
        <f t="shared" ref="BF2788:BF2851" ca="1" si="108">IF(BE2788&lt;$B$5-1/1440,0,OFFSET($N$4,(BE2788-$B$4)*1440,0,1,1))</f>
        <v>#VALUE!</v>
      </c>
    </row>
    <row r="2789" spans="57:58">
      <c r="BE2789" s="19">
        <f t="shared" si="107"/>
        <v>1.9340277777779205</v>
      </c>
      <c r="BF2789" t="e">
        <f t="shared" ca="1" si="108"/>
        <v>#VALUE!</v>
      </c>
    </row>
    <row r="2790" spans="57:58">
      <c r="BE2790" s="19">
        <f t="shared" si="107"/>
        <v>1.934722222222365</v>
      </c>
      <c r="BF2790" t="e">
        <f t="shared" ca="1" si="108"/>
        <v>#VALUE!</v>
      </c>
    </row>
    <row r="2791" spans="57:58">
      <c r="BE2791" s="19">
        <f t="shared" si="107"/>
        <v>1.9354166666668096</v>
      </c>
      <c r="BF2791" t="e">
        <f t="shared" ca="1" si="108"/>
        <v>#VALUE!</v>
      </c>
    </row>
    <row r="2792" spans="57:58">
      <c r="BE2792" s="19">
        <f t="shared" si="107"/>
        <v>1.9361111111112541</v>
      </c>
      <c r="BF2792" t="e">
        <f t="shared" ca="1" si="108"/>
        <v>#VALUE!</v>
      </c>
    </row>
    <row r="2793" spans="57:58">
      <c r="BE2793" s="19">
        <f t="shared" si="107"/>
        <v>1.9368055555556987</v>
      </c>
      <c r="BF2793" t="e">
        <f t="shared" ca="1" si="108"/>
        <v>#VALUE!</v>
      </c>
    </row>
    <row r="2794" spans="57:58">
      <c r="BE2794" s="19">
        <f t="shared" si="107"/>
        <v>1.9375000000001432</v>
      </c>
      <c r="BF2794" t="e">
        <f t="shared" ca="1" si="108"/>
        <v>#VALUE!</v>
      </c>
    </row>
    <row r="2795" spans="57:58">
      <c r="BE2795" s="19">
        <f t="shared" si="107"/>
        <v>1.9381944444445878</v>
      </c>
      <c r="BF2795" t="e">
        <f t="shared" ca="1" si="108"/>
        <v>#VALUE!</v>
      </c>
    </row>
    <row r="2796" spans="57:58">
      <c r="BE2796" s="19">
        <f t="shared" si="107"/>
        <v>1.9388888888890323</v>
      </c>
      <c r="BF2796" t="e">
        <f t="shared" ca="1" si="108"/>
        <v>#VALUE!</v>
      </c>
    </row>
    <row r="2797" spans="57:58">
      <c r="BE2797" s="19">
        <f t="shared" si="107"/>
        <v>1.9395833333334769</v>
      </c>
      <c r="BF2797" t="e">
        <f t="shared" ca="1" si="108"/>
        <v>#VALUE!</v>
      </c>
    </row>
    <row r="2798" spans="57:58">
      <c r="BE2798" s="19">
        <f t="shared" si="107"/>
        <v>1.9402777777779214</v>
      </c>
      <c r="BF2798" t="e">
        <f t="shared" ca="1" si="108"/>
        <v>#VALUE!</v>
      </c>
    </row>
    <row r="2799" spans="57:58">
      <c r="BE2799" s="19">
        <f t="shared" si="107"/>
        <v>1.940972222222366</v>
      </c>
      <c r="BF2799" t="e">
        <f t="shared" ca="1" si="108"/>
        <v>#VALUE!</v>
      </c>
    </row>
    <row r="2800" spans="57:58">
      <c r="BE2800" s="19">
        <f t="shared" si="107"/>
        <v>1.9416666666668105</v>
      </c>
      <c r="BF2800" t="e">
        <f t="shared" ca="1" si="108"/>
        <v>#VALUE!</v>
      </c>
    </row>
    <row r="2801" spans="57:58">
      <c r="BE2801" s="19">
        <f t="shared" si="107"/>
        <v>1.9423611111112551</v>
      </c>
      <c r="BF2801" t="e">
        <f t="shared" ca="1" si="108"/>
        <v>#VALUE!</v>
      </c>
    </row>
    <row r="2802" spans="57:58">
      <c r="BE2802" s="19">
        <f t="shared" si="107"/>
        <v>1.9430555555556996</v>
      </c>
      <c r="BF2802" t="e">
        <f t="shared" ca="1" si="108"/>
        <v>#VALUE!</v>
      </c>
    </row>
    <row r="2803" spans="57:58">
      <c r="BE2803" s="19">
        <f t="shared" si="107"/>
        <v>1.9437500000001442</v>
      </c>
      <c r="BF2803" t="e">
        <f t="shared" ca="1" si="108"/>
        <v>#VALUE!</v>
      </c>
    </row>
    <row r="2804" spans="57:58">
      <c r="BE2804" s="19">
        <f t="shared" si="107"/>
        <v>1.9444444444445887</v>
      </c>
      <c r="BF2804" t="e">
        <f t="shared" ca="1" si="108"/>
        <v>#VALUE!</v>
      </c>
    </row>
    <row r="2805" spans="57:58">
      <c r="BE2805" s="19">
        <f t="shared" si="107"/>
        <v>1.9451388888890333</v>
      </c>
      <c r="BF2805" t="e">
        <f t="shared" ca="1" si="108"/>
        <v>#VALUE!</v>
      </c>
    </row>
    <row r="2806" spans="57:58">
      <c r="BE2806" s="19">
        <f t="shared" si="107"/>
        <v>1.9458333333334779</v>
      </c>
      <c r="BF2806" t="e">
        <f t="shared" ca="1" si="108"/>
        <v>#VALUE!</v>
      </c>
    </row>
    <row r="2807" spans="57:58">
      <c r="BE2807" s="19">
        <f t="shared" si="107"/>
        <v>1.9465277777779224</v>
      </c>
      <c r="BF2807" t="e">
        <f t="shared" ca="1" si="108"/>
        <v>#VALUE!</v>
      </c>
    </row>
    <row r="2808" spans="57:58">
      <c r="BE2808" s="19">
        <f t="shared" si="107"/>
        <v>1.947222222222367</v>
      </c>
      <c r="BF2808" t="e">
        <f t="shared" ca="1" si="108"/>
        <v>#VALUE!</v>
      </c>
    </row>
    <row r="2809" spans="57:58">
      <c r="BE2809" s="19">
        <f t="shared" si="107"/>
        <v>1.9479166666668115</v>
      </c>
      <c r="BF2809" t="e">
        <f t="shared" ca="1" si="108"/>
        <v>#VALUE!</v>
      </c>
    </row>
    <row r="2810" spans="57:58">
      <c r="BE2810" s="19">
        <f t="shared" si="107"/>
        <v>1.9486111111112561</v>
      </c>
      <c r="BF2810" t="e">
        <f t="shared" ca="1" si="108"/>
        <v>#VALUE!</v>
      </c>
    </row>
    <row r="2811" spans="57:58">
      <c r="BE2811" s="19">
        <f t="shared" si="107"/>
        <v>1.9493055555557006</v>
      </c>
      <c r="BF2811" t="e">
        <f t="shared" ca="1" si="108"/>
        <v>#VALUE!</v>
      </c>
    </row>
    <row r="2812" spans="57:58">
      <c r="BE2812" s="19">
        <f t="shared" si="107"/>
        <v>1.9500000000001452</v>
      </c>
      <c r="BF2812" t="e">
        <f t="shared" ca="1" si="108"/>
        <v>#VALUE!</v>
      </c>
    </row>
    <row r="2813" spans="57:58">
      <c r="BE2813" s="19">
        <f t="shared" si="107"/>
        <v>1.9506944444445897</v>
      </c>
      <c r="BF2813" t="e">
        <f t="shared" ca="1" si="108"/>
        <v>#VALUE!</v>
      </c>
    </row>
    <row r="2814" spans="57:58">
      <c r="BE2814" s="19">
        <f t="shared" si="107"/>
        <v>1.9513888888890343</v>
      </c>
      <c r="BF2814" t="e">
        <f t="shared" ca="1" si="108"/>
        <v>#VALUE!</v>
      </c>
    </row>
    <row r="2815" spans="57:58">
      <c r="BE2815" s="19">
        <f t="shared" si="107"/>
        <v>1.9520833333334788</v>
      </c>
      <c r="BF2815" t="e">
        <f t="shared" ca="1" si="108"/>
        <v>#VALUE!</v>
      </c>
    </row>
    <row r="2816" spans="57:58">
      <c r="BE2816" s="19">
        <f t="shared" si="107"/>
        <v>1.9527777777779234</v>
      </c>
      <c r="BF2816" t="e">
        <f t="shared" ca="1" si="108"/>
        <v>#VALUE!</v>
      </c>
    </row>
    <row r="2817" spans="57:58">
      <c r="BE2817" s="19">
        <f t="shared" si="107"/>
        <v>1.9534722222223679</v>
      </c>
      <c r="BF2817" t="e">
        <f t="shared" ca="1" si="108"/>
        <v>#VALUE!</v>
      </c>
    </row>
    <row r="2818" spans="57:58">
      <c r="BE2818" s="19">
        <f t="shared" si="107"/>
        <v>1.9541666666668125</v>
      </c>
      <c r="BF2818" t="e">
        <f t="shared" ca="1" si="108"/>
        <v>#VALUE!</v>
      </c>
    </row>
    <row r="2819" spans="57:58">
      <c r="BE2819" s="19">
        <f t="shared" si="107"/>
        <v>1.954861111111257</v>
      </c>
      <c r="BF2819" t="e">
        <f t="shared" ca="1" si="108"/>
        <v>#VALUE!</v>
      </c>
    </row>
    <row r="2820" spans="57:58">
      <c r="BE2820" s="19">
        <f t="shared" si="107"/>
        <v>1.9555555555557016</v>
      </c>
      <c r="BF2820" t="e">
        <f t="shared" ca="1" si="108"/>
        <v>#VALUE!</v>
      </c>
    </row>
    <row r="2821" spans="57:58">
      <c r="BE2821" s="19">
        <f t="shared" si="107"/>
        <v>1.9562500000001461</v>
      </c>
      <c r="BF2821" t="e">
        <f t="shared" ca="1" si="108"/>
        <v>#VALUE!</v>
      </c>
    </row>
    <row r="2822" spans="57:58">
      <c r="BE2822" s="19">
        <f t="shared" ref="BE2822:BE2883" si="109">BE2821+1/1440</f>
        <v>1.9569444444445907</v>
      </c>
      <c r="BF2822" t="e">
        <f t="shared" ca="1" si="108"/>
        <v>#VALUE!</v>
      </c>
    </row>
    <row r="2823" spans="57:58">
      <c r="BE2823" s="19">
        <f t="shared" si="109"/>
        <v>1.9576388888890353</v>
      </c>
      <c r="BF2823" t="e">
        <f t="shared" ca="1" si="108"/>
        <v>#VALUE!</v>
      </c>
    </row>
    <row r="2824" spans="57:58">
      <c r="BE2824" s="19">
        <f t="shared" si="109"/>
        <v>1.9583333333334798</v>
      </c>
      <c r="BF2824" t="e">
        <f t="shared" ca="1" si="108"/>
        <v>#VALUE!</v>
      </c>
    </row>
    <row r="2825" spans="57:58">
      <c r="BE2825" s="19">
        <f t="shared" si="109"/>
        <v>1.9590277777779244</v>
      </c>
      <c r="BF2825" t="e">
        <f t="shared" ca="1" si="108"/>
        <v>#VALUE!</v>
      </c>
    </row>
    <row r="2826" spans="57:58">
      <c r="BE2826" s="19">
        <f t="shared" si="109"/>
        <v>1.9597222222223689</v>
      </c>
      <c r="BF2826" t="e">
        <f t="shared" ca="1" si="108"/>
        <v>#VALUE!</v>
      </c>
    </row>
    <row r="2827" spans="57:58">
      <c r="BE2827" s="19">
        <f t="shared" si="109"/>
        <v>1.9604166666668135</v>
      </c>
      <c r="BF2827" t="e">
        <f t="shared" ca="1" si="108"/>
        <v>#VALUE!</v>
      </c>
    </row>
    <row r="2828" spans="57:58">
      <c r="BE2828" s="19">
        <f t="shared" si="109"/>
        <v>1.961111111111258</v>
      </c>
      <c r="BF2828" t="e">
        <f t="shared" ca="1" si="108"/>
        <v>#VALUE!</v>
      </c>
    </row>
    <row r="2829" spans="57:58">
      <c r="BE2829" s="19">
        <f t="shared" si="109"/>
        <v>1.9618055555557026</v>
      </c>
      <c r="BF2829" t="e">
        <f t="shared" ca="1" si="108"/>
        <v>#VALUE!</v>
      </c>
    </row>
    <row r="2830" spans="57:58">
      <c r="BE2830" s="19">
        <f t="shared" si="109"/>
        <v>1.9625000000001471</v>
      </c>
      <c r="BF2830" t="e">
        <f t="shared" ca="1" si="108"/>
        <v>#VALUE!</v>
      </c>
    </row>
    <row r="2831" spans="57:58">
      <c r="BE2831" s="19">
        <f t="shared" si="109"/>
        <v>1.9631944444445917</v>
      </c>
      <c r="BF2831" t="e">
        <f t="shared" ca="1" si="108"/>
        <v>#VALUE!</v>
      </c>
    </row>
    <row r="2832" spans="57:58">
      <c r="BE2832" s="19">
        <f t="shared" si="109"/>
        <v>1.9638888888890362</v>
      </c>
      <c r="BF2832" t="e">
        <f t="shared" ca="1" si="108"/>
        <v>#VALUE!</v>
      </c>
    </row>
    <row r="2833" spans="57:58">
      <c r="BE2833" s="19">
        <f t="shared" si="109"/>
        <v>1.9645833333334808</v>
      </c>
      <c r="BF2833" t="e">
        <f t="shared" ca="1" si="108"/>
        <v>#VALUE!</v>
      </c>
    </row>
    <row r="2834" spans="57:58">
      <c r="BE2834" s="19">
        <f t="shared" si="109"/>
        <v>1.9652777777779253</v>
      </c>
      <c r="BF2834" t="e">
        <f t="shared" ca="1" si="108"/>
        <v>#VALUE!</v>
      </c>
    </row>
    <row r="2835" spans="57:58">
      <c r="BE2835" s="19">
        <f t="shared" si="109"/>
        <v>1.9659722222223699</v>
      </c>
      <c r="BF2835" t="e">
        <f t="shared" ca="1" si="108"/>
        <v>#VALUE!</v>
      </c>
    </row>
    <row r="2836" spans="57:58">
      <c r="BE2836" s="19">
        <f t="shared" si="109"/>
        <v>1.9666666666668144</v>
      </c>
      <c r="BF2836" t="e">
        <f t="shared" ca="1" si="108"/>
        <v>#VALUE!</v>
      </c>
    </row>
    <row r="2837" spans="57:58">
      <c r="BE2837" s="19">
        <f t="shared" si="109"/>
        <v>1.967361111111259</v>
      </c>
      <c r="BF2837" t="e">
        <f t="shared" ca="1" si="108"/>
        <v>#VALUE!</v>
      </c>
    </row>
    <row r="2838" spans="57:58">
      <c r="BE2838" s="19">
        <f t="shared" si="109"/>
        <v>1.9680555555557036</v>
      </c>
      <c r="BF2838" t="e">
        <f t="shared" ca="1" si="108"/>
        <v>#VALUE!</v>
      </c>
    </row>
    <row r="2839" spans="57:58">
      <c r="BE2839" s="19">
        <f t="shared" si="109"/>
        <v>1.9687500000001481</v>
      </c>
      <c r="BF2839" t="e">
        <f t="shared" ca="1" si="108"/>
        <v>#VALUE!</v>
      </c>
    </row>
    <row r="2840" spans="57:58">
      <c r="BE2840" s="19">
        <f t="shared" si="109"/>
        <v>1.9694444444445927</v>
      </c>
      <c r="BF2840" t="e">
        <f t="shared" ca="1" si="108"/>
        <v>#VALUE!</v>
      </c>
    </row>
    <row r="2841" spans="57:58">
      <c r="BE2841" s="19">
        <f t="shared" si="109"/>
        <v>1.9701388888890372</v>
      </c>
      <c r="BF2841" t="e">
        <f t="shared" ca="1" si="108"/>
        <v>#VALUE!</v>
      </c>
    </row>
    <row r="2842" spans="57:58">
      <c r="BE2842" s="19">
        <f t="shared" si="109"/>
        <v>1.9708333333334818</v>
      </c>
      <c r="BF2842" t="e">
        <f t="shared" ca="1" si="108"/>
        <v>#VALUE!</v>
      </c>
    </row>
    <row r="2843" spans="57:58">
      <c r="BE2843" s="19">
        <f t="shared" si="109"/>
        <v>1.9715277777779263</v>
      </c>
      <c r="BF2843" t="e">
        <f t="shared" ca="1" si="108"/>
        <v>#VALUE!</v>
      </c>
    </row>
    <row r="2844" spans="57:58">
      <c r="BE2844" s="19">
        <f t="shared" si="109"/>
        <v>1.9722222222223709</v>
      </c>
      <c r="BF2844" t="e">
        <f t="shared" ca="1" si="108"/>
        <v>#VALUE!</v>
      </c>
    </row>
    <row r="2845" spans="57:58">
      <c r="BE2845" s="19">
        <f t="shared" si="109"/>
        <v>1.9729166666668154</v>
      </c>
      <c r="BF2845" t="e">
        <f t="shared" ca="1" si="108"/>
        <v>#VALUE!</v>
      </c>
    </row>
    <row r="2846" spans="57:58">
      <c r="BE2846" s="19">
        <f t="shared" si="109"/>
        <v>1.97361111111126</v>
      </c>
      <c r="BF2846" t="e">
        <f t="shared" ca="1" si="108"/>
        <v>#VALUE!</v>
      </c>
    </row>
    <row r="2847" spans="57:58">
      <c r="BE2847" s="19">
        <f t="shared" si="109"/>
        <v>1.9743055555557045</v>
      </c>
      <c r="BF2847" t="e">
        <f t="shared" ca="1" si="108"/>
        <v>#VALUE!</v>
      </c>
    </row>
    <row r="2848" spans="57:58">
      <c r="BE2848" s="19">
        <f t="shared" si="109"/>
        <v>1.9750000000001491</v>
      </c>
      <c r="BF2848" t="e">
        <f t="shared" ca="1" si="108"/>
        <v>#VALUE!</v>
      </c>
    </row>
    <row r="2849" spans="57:58">
      <c r="BE2849" s="19">
        <f t="shared" si="109"/>
        <v>1.9756944444445936</v>
      </c>
      <c r="BF2849" t="e">
        <f t="shared" ca="1" si="108"/>
        <v>#VALUE!</v>
      </c>
    </row>
    <row r="2850" spans="57:58">
      <c r="BE2850" s="19">
        <f t="shared" si="109"/>
        <v>1.9763888888890382</v>
      </c>
      <c r="BF2850" t="e">
        <f t="shared" ca="1" si="108"/>
        <v>#VALUE!</v>
      </c>
    </row>
    <row r="2851" spans="57:58">
      <c r="BE2851" s="19">
        <f t="shared" si="109"/>
        <v>1.9770833333334827</v>
      </c>
      <c r="BF2851" t="e">
        <f t="shared" ca="1" si="108"/>
        <v>#VALUE!</v>
      </c>
    </row>
    <row r="2852" spans="57:58">
      <c r="BE2852" s="19">
        <f t="shared" si="109"/>
        <v>1.9777777777779273</v>
      </c>
      <c r="BF2852" t="e">
        <f t="shared" ref="BF2852:BF2875" ca="1" si="110">IF(BE2852&lt;$B$5-1/1440,0,OFFSET($N$4,(BE2852-$B$4)*1440,0,1,1))</f>
        <v>#VALUE!</v>
      </c>
    </row>
    <row r="2853" spans="57:58">
      <c r="BE2853" s="19">
        <f t="shared" si="109"/>
        <v>1.9784722222223718</v>
      </c>
      <c r="BF2853" t="e">
        <f t="shared" ca="1" si="110"/>
        <v>#VALUE!</v>
      </c>
    </row>
    <row r="2854" spans="57:58">
      <c r="BE2854" s="19">
        <f t="shared" si="109"/>
        <v>1.9791666666668164</v>
      </c>
      <c r="BF2854" t="e">
        <f t="shared" ca="1" si="110"/>
        <v>#VALUE!</v>
      </c>
    </row>
    <row r="2855" spans="57:58">
      <c r="BE2855" s="19">
        <f t="shared" si="109"/>
        <v>1.979861111111261</v>
      </c>
      <c r="BF2855" t="e">
        <f t="shared" ca="1" si="110"/>
        <v>#VALUE!</v>
      </c>
    </row>
    <row r="2856" spans="57:58">
      <c r="BE2856" s="19">
        <f t="shared" si="109"/>
        <v>1.9805555555557055</v>
      </c>
      <c r="BF2856" t="e">
        <f t="shared" ca="1" si="110"/>
        <v>#VALUE!</v>
      </c>
    </row>
    <row r="2857" spans="57:58">
      <c r="BE2857" s="19">
        <f t="shared" si="109"/>
        <v>1.9812500000001501</v>
      </c>
      <c r="BF2857" t="e">
        <f t="shared" ca="1" si="110"/>
        <v>#VALUE!</v>
      </c>
    </row>
    <row r="2858" spans="57:58">
      <c r="BE2858" s="19">
        <f t="shared" si="109"/>
        <v>1.9819444444445946</v>
      </c>
      <c r="BF2858" t="e">
        <f t="shared" ca="1" si="110"/>
        <v>#VALUE!</v>
      </c>
    </row>
    <row r="2859" spans="57:58">
      <c r="BE2859" s="19">
        <f t="shared" si="109"/>
        <v>1.9826388888890392</v>
      </c>
      <c r="BF2859" t="e">
        <f t="shared" ca="1" si="110"/>
        <v>#VALUE!</v>
      </c>
    </row>
    <row r="2860" spans="57:58">
      <c r="BE2860" s="19">
        <f t="shared" si="109"/>
        <v>1.9833333333334837</v>
      </c>
      <c r="BF2860" t="e">
        <f t="shared" ca="1" si="110"/>
        <v>#VALUE!</v>
      </c>
    </row>
    <row r="2861" spans="57:58">
      <c r="BE2861" s="19">
        <f t="shared" si="109"/>
        <v>1.9840277777779283</v>
      </c>
      <c r="BF2861" t="e">
        <f t="shared" ca="1" si="110"/>
        <v>#VALUE!</v>
      </c>
    </row>
    <row r="2862" spans="57:58">
      <c r="BE2862" s="19">
        <f t="shared" si="109"/>
        <v>1.9847222222223728</v>
      </c>
      <c r="BF2862" t="e">
        <f t="shared" ca="1" si="110"/>
        <v>#VALUE!</v>
      </c>
    </row>
    <row r="2863" spans="57:58">
      <c r="BE2863" s="19">
        <f t="shared" si="109"/>
        <v>1.9854166666668174</v>
      </c>
      <c r="BF2863" t="e">
        <f t="shared" ca="1" si="110"/>
        <v>#VALUE!</v>
      </c>
    </row>
    <row r="2864" spans="57:58">
      <c r="BE2864" s="19">
        <f t="shared" si="109"/>
        <v>1.9861111111112619</v>
      </c>
      <c r="BF2864" t="e">
        <f t="shared" ca="1" si="110"/>
        <v>#VALUE!</v>
      </c>
    </row>
    <row r="2865" spans="57:58">
      <c r="BE2865" s="19">
        <f t="shared" si="109"/>
        <v>1.9868055555557065</v>
      </c>
      <c r="BF2865" t="e">
        <f t="shared" ca="1" si="110"/>
        <v>#VALUE!</v>
      </c>
    </row>
    <row r="2866" spans="57:58">
      <c r="BE2866" s="19">
        <f t="shared" si="109"/>
        <v>1.987500000000151</v>
      </c>
      <c r="BF2866" t="e">
        <f t="shared" ca="1" si="110"/>
        <v>#VALUE!</v>
      </c>
    </row>
    <row r="2867" spans="57:58">
      <c r="BE2867" s="19">
        <f t="shared" si="109"/>
        <v>1.9881944444445956</v>
      </c>
      <c r="BF2867" t="e">
        <f t="shared" ca="1" si="110"/>
        <v>#VALUE!</v>
      </c>
    </row>
    <row r="2868" spans="57:58">
      <c r="BE2868" s="19">
        <f t="shared" si="109"/>
        <v>1.9888888888890401</v>
      </c>
      <c r="BF2868" t="e">
        <f t="shared" ca="1" si="110"/>
        <v>#VALUE!</v>
      </c>
    </row>
    <row r="2869" spans="57:58">
      <c r="BE2869" s="19">
        <f t="shared" si="109"/>
        <v>1.9895833333334847</v>
      </c>
      <c r="BF2869" t="e">
        <f t="shared" ca="1" si="110"/>
        <v>#VALUE!</v>
      </c>
    </row>
    <row r="2870" spans="57:58">
      <c r="BE2870" s="19">
        <f t="shared" si="109"/>
        <v>1.9902777777779292</v>
      </c>
      <c r="BF2870" t="e">
        <f t="shared" ca="1" si="110"/>
        <v>#VALUE!</v>
      </c>
    </row>
    <row r="2871" spans="57:58">
      <c r="BE2871" s="19">
        <f t="shared" si="109"/>
        <v>1.9909722222223738</v>
      </c>
      <c r="BF2871" t="e">
        <f t="shared" ca="1" si="110"/>
        <v>#VALUE!</v>
      </c>
    </row>
    <row r="2872" spans="57:58">
      <c r="BE2872" s="19">
        <f t="shared" si="109"/>
        <v>1.9916666666668184</v>
      </c>
      <c r="BF2872" t="e">
        <f t="shared" ca="1" si="110"/>
        <v>#VALUE!</v>
      </c>
    </row>
    <row r="2873" spans="57:58">
      <c r="BE2873" s="19">
        <f t="shared" si="109"/>
        <v>1.9923611111112629</v>
      </c>
      <c r="BF2873" t="e">
        <f t="shared" ca="1" si="110"/>
        <v>#VALUE!</v>
      </c>
    </row>
    <row r="2874" spans="57:58">
      <c r="BE2874" s="19">
        <f t="shared" si="109"/>
        <v>1.9930555555557075</v>
      </c>
      <c r="BF2874" t="e">
        <f t="shared" ca="1" si="110"/>
        <v>#VALUE!</v>
      </c>
    </row>
    <row r="2875" spans="57:58">
      <c r="BE2875" s="19">
        <f t="shared" si="109"/>
        <v>1.993750000000152</v>
      </c>
      <c r="BF2875" t="e">
        <f t="shared" ca="1" si="110"/>
        <v>#VALUE!</v>
      </c>
    </row>
    <row r="2876" spans="57:58">
      <c r="BE2876" s="19">
        <f t="shared" si="109"/>
        <v>1.9944444444445966</v>
      </c>
      <c r="BF2876" t="e">
        <f t="shared" ref="BF2876:BF2883" ca="1" si="111">IF(BE2876&lt;$B$5-1/1440,0,OFFSET($N$4,(BE2876-$B$4)*1440,0,1,1))</f>
        <v>#VALUE!</v>
      </c>
    </row>
    <row r="2877" spans="57:58">
      <c r="BE2877" s="19">
        <f t="shared" si="109"/>
        <v>1.9951388888890411</v>
      </c>
      <c r="BF2877" t="e">
        <f t="shared" ca="1" si="111"/>
        <v>#VALUE!</v>
      </c>
    </row>
    <row r="2878" spans="57:58">
      <c r="BE2878" s="19">
        <f t="shared" si="109"/>
        <v>1.9958333333334857</v>
      </c>
      <c r="BF2878" t="e">
        <f t="shared" ca="1" si="111"/>
        <v>#VALUE!</v>
      </c>
    </row>
    <row r="2879" spans="57:58">
      <c r="BE2879" s="19">
        <f t="shared" si="109"/>
        <v>1.9965277777779302</v>
      </c>
      <c r="BF2879" t="e">
        <f t="shared" ca="1" si="111"/>
        <v>#VALUE!</v>
      </c>
    </row>
    <row r="2880" spans="57:58">
      <c r="BE2880" s="19">
        <f t="shared" si="109"/>
        <v>1.9972222222223748</v>
      </c>
      <c r="BF2880" t="e">
        <f t="shared" ca="1" si="111"/>
        <v>#VALUE!</v>
      </c>
    </row>
    <row r="2881" spans="57:58">
      <c r="BE2881" s="19">
        <f t="shared" si="109"/>
        <v>1.9979166666668193</v>
      </c>
      <c r="BF2881" t="e">
        <f t="shared" ca="1" si="111"/>
        <v>#VALUE!</v>
      </c>
    </row>
    <row r="2882" spans="57:58">
      <c r="BE2882" s="19">
        <f t="shared" si="109"/>
        <v>1.9986111111112639</v>
      </c>
      <c r="BF2882" t="e">
        <f t="shared" ca="1" si="111"/>
        <v>#VALUE!</v>
      </c>
    </row>
    <row r="2883" spans="57:58">
      <c r="BE2883" s="19">
        <f t="shared" si="109"/>
        <v>1.9993055555557084</v>
      </c>
      <c r="BF2883" t="e">
        <f t="shared" ca="1" si="111"/>
        <v>#VALUE!</v>
      </c>
    </row>
    <row r="2884" spans="57:58">
      <c r="BE2884" s="19"/>
    </row>
    <row r="2885" spans="57:58">
      <c r="BE2885" s="19"/>
    </row>
    <row r="2886" spans="57:58">
      <c r="BE2886" s="19"/>
    </row>
    <row r="2887" spans="57:58">
      <c r="BE2887" s="19"/>
    </row>
    <row r="2888" spans="57:58">
      <c r="BE2888" s="19"/>
    </row>
  </sheetData>
  <phoneticPr fontId="2" type="noConversion"/>
  <pageMargins left="0.15748031496062992" right="0.15748031496062992" top="0.98425196850393704" bottom="0.98425196850393704" header="0.31496062992125984" footer="0.51181102362204722"/>
  <pageSetup scale="79" orientation="portrait" r:id="rId1"/>
  <headerFooter alignWithMargins="0">
    <oddFooter>&amp;R&amp;P&amp;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10"/>
  <sheetViews>
    <sheetView showGridLines="0" showRowColHeaders="0" tabSelected="1" workbookViewId="0">
      <selection activeCell="C20" sqref="C20"/>
    </sheetView>
  </sheetViews>
  <sheetFormatPr baseColWidth="10" defaultColWidth="0" defaultRowHeight="13"/>
  <cols>
    <col min="1" max="1" width="9.1640625" customWidth="1"/>
    <col min="2" max="2" width="30" style="1" customWidth="1"/>
    <col min="3" max="3" width="44.33203125" style="2" customWidth="1"/>
    <col min="4" max="4" width="3.6640625" customWidth="1"/>
  </cols>
  <sheetData>
    <row r="2" spans="2:3" ht="16">
      <c r="B2" s="37" t="s">
        <v>72</v>
      </c>
    </row>
    <row r="4" spans="2:3" ht="15" thickBot="1">
      <c r="B4" s="34" t="s">
        <v>1</v>
      </c>
      <c r="C4" s="48"/>
    </row>
    <row r="5" spans="2:3" ht="14">
      <c r="B5" s="34"/>
      <c r="C5" s="33"/>
    </row>
    <row r="6" spans="2:3" ht="75.75" customHeight="1" thickBot="1">
      <c r="B6" s="35" t="s">
        <v>2</v>
      </c>
      <c r="C6" s="49"/>
    </row>
    <row r="7" spans="2:3" ht="14">
      <c r="B7" s="36" t="s">
        <v>3</v>
      </c>
      <c r="C7" s="33"/>
    </row>
    <row r="8" spans="2:3" ht="14">
      <c r="B8" s="36"/>
      <c r="C8" s="33"/>
    </row>
    <row r="9" spans="2:3" ht="15" thickBot="1">
      <c r="B9" s="34" t="s">
        <v>18</v>
      </c>
      <c r="C9" s="50">
        <v>8</v>
      </c>
    </row>
    <row r="10" spans="2:3" ht="14">
      <c r="B10" s="34"/>
      <c r="C10" s="33"/>
    </row>
  </sheetData>
  <phoneticPr fontId="2" type="noConversion"/>
  <dataValidations count="1">
    <dataValidation operator="greaterThan" allowBlank="1" showInputMessage="1" showErrorMessage="1" errorTitle="Input error" error="This must be a value greater than zero" sqref="C9" xr:uid="{00000000-0002-0000-0200-000000000000}"/>
  </dataValidations>
  <pageMargins left="0" right="0" top="0" bottom="0.11811023622047245" header="0" footer="0"/>
  <pageSetup paperSize="9" orientation="portrait" horizontalDpi="4294967293" r:id="rId1"/>
  <headerFooter scaleWithDoc="0">
    <oddFooter xml:space="preserve">&amp;L&amp;G   &amp;P   of &amp;N&amp;R© Activinsights Ltd 2017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36260" r:id="rId5" name="Button 4">
              <controlPr defaultSize="0" print="0" autoFill="0" autoPict="0" macro="[0]!print_report">
                <anchor moveWithCells="1" sizeWithCells="1">
                  <from>
                    <xdr:col>1</xdr:col>
                    <xdr:colOff>254000</xdr:colOff>
                    <xdr:row>12</xdr:row>
                    <xdr:rowOff>114300</xdr:rowOff>
                  </from>
                  <to>
                    <xdr:col>2</xdr:col>
                    <xdr:colOff>241300</xdr:colOff>
                    <xdr:row>14</xdr:row>
                    <xdr:rowOff>63500</xdr:rowOff>
                  </to>
                </anchor>
              </controlPr>
            </control>
          </mc:Choice>
        </mc:AlternateContent>
        <mc:AlternateContent xmlns:mc="http://schemas.openxmlformats.org/markup-compatibility/2006">
          <mc:Choice Requires="x14">
            <control shapeId="736261" r:id="rId6" name="Button 5">
              <controlPr defaultSize="0" print="0" autoFill="0" autoPict="0" macro="[0]!export_data">
                <anchor moveWithCells="1" sizeWithCells="1">
                  <from>
                    <xdr:col>2</xdr:col>
                    <xdr:colOff>482600</xdr:colOff>
                    <xdr:row>12</xdr:row>
                    <xdr:rowOff>114300</xdr:rowOff>
                  </from>
                  <to>
                    <xdr:col>2</xdr:col>
                    <xdr:colOff>2590800</xdr:colOff>
                    <xdr:row>14</xdr:row>
                    <xdr:rowOff>63500</xdr:rowOff>
                  </to>
                </anchor>
              </controlPr>
            </control>
          </mc:Choice>
        </mc:AlternateContent>
        <mc:AlternateContent xmlns:mc="http://schemas.openxmlformats.org/markup-compatibility/2006">
          <mc:Choice Requires="x14">
            <control shapeId="736262" r:id="rId7" name="Button 6">
              <controlPr defaultSize="0" print="0" autoFill="0" autoPict="0" macro="[0]!print_report_us">
                <anchor moveWithCells="1" sizeWithCells="1">
                  <from>
                    <xdr:col>1</xdr:col>
                    <xdr:colOff>254000</xdr:colOff>
                    <xdr:row>15</xdr:row>
                    <xdr:rowOff>63500</xdr:rowOff>
                  </from>
                  <to>
                    <xdr:col>2</xdr:col>
                    <xdr:colOff>241300</xdr:colOff>
                    <xdr:row>17</xdr:row>
                    <xdr:rowOff>12700</xdr:rowOff>
                  </to>
                </anchor>
              </controlPr>
            </control>
          </mc:Choice>
        </mc:AlternateContent>
        <mc:AlternateContent xmlns:mc="http://schemas.openxmlformats.org/markup-compatibility/2006">
          <mc:Choice Requires="x14">
            <control shapeId="736263" r:id="rId8" name="Button 7">
              <controlPr defaultSize="0" print="0" autoFill="0" autoPict="0" macro="[0]!ImportDataFile">
                <anchor moveWithCells="1" sizeWithCells="1">
                  <from>
                    <xdr:col>1</xdr:col>
                    <xdr:colOff>292100</xdr:colOff>
                    <xdr:row>10</xdr:row>
                    <xdr:rowOff>25400</xdr:rowOff>
                  </from>
                  <to>
                    <xdr:col>2</xdr:col>
                    <xdr:colOff>254000</xdr:colOff>
                    <xdr:row>11</xdr:row>
                    <xdr:rowOff>139700</xdr:rowOff>
                  </to>
                </anchor>
              </controlPr>
            </control>
          </mc:Choice>
        </mc:AlternateContent>
        <mc:AlternateContent xmlns:mc="http://schemas.openxmlformats.org/markup-compatibility/2006">
          <mc:Choice Requires="x14">
            <control shapeId="736264" r:id="rId9" name="Button 8">
              <controlPr defaultSize="0" print="0" autoFill="0" autoPict="0" macro="[0]!Data_analysis">
                <anchor moveWithCells="1" sizeWithCells="1">
                  <from>
                    <xdr:col>2</xdr:col>
                    <xdr:colOff>495300</xdr:colOff>
                    <xdr:row>10</xdr:row>
                    <xdr:rowOff>25400</xdr:rowOff>
                  </from>
                  <to>
                    <xdr:col>2</xdr:col>
                    <xdr:colOff>2603500</xdr:colOff>
                    <xdr:row>11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C44"/>
  <sheetViews>
    <sheetView showGridLines="0" showRowColHeaders="0" zoomScaleNormal="100" workbookViewId="0">
      <selection activeCell="C19" sqref="C19"/>
    </sheetView>
  </sheetViews>
  <sheetFormatPr baseColWidth="10" defaultColWidth="0" defaultRowHeight="13"/>
  <cols>
    <col min="1" max="1" width="3.5" style="29" customWidth="1"/>
    <col min="2" max="2" width="34" style="47" bestFit="1" customWidth="1"/>
    <col min="3" max="3" width="37.83203125" style="33" customWidth="1"/>
    <col min="4" max="4" width="3.83203125" style="29" customWidth="1"/>
    <col min="5" max="16384" width="0" style="29" hidden="1"/>
  </cols>
  <sheetData>
    <row r="1" spans="2:3" ht="6.75" customHeight="1"/>
    <row r="2" spans="2:3" ht="8.25" customHeight="1"/>
    <row r="3" spans="2:3">
      <c r="B3" s="43" t="s">
        <v>22</v>
      </c>
      <c r="C3" s="38"/>
    </row>
    <row r="4" spans="2:3">
      <c r="B4" s="44"/>
      <c r="C4" s="39"/>
    </row>
    <row r="5" spans="2:3">
      <c r="B5" s="44" t="s">
        <v>4</v>
      </c>
      <c r="C5" s="39" t="str">
        <f>IF('User Inputs'!C4="","",'User Inputs'!C4)</f>
        <v/>
      </c>
    </row>
    <row r="6" spans="2:3">
      <c r="B6" s="44" t="s">
        <v>5</v>
      </c>
      <c r="C6" s="40">
        <f ca="1">TODAY()</f>
        <v>43633</v>
      </c>
    </row>
    <row r="7" spans="2:3" ht="14" thickBot="1">
      <c r="B7" s="45" t="s">
        <v>6</v>
      </c>
      <c r="C7" s="41"/>
    </row>
    <row r="10" spans="2:3">
      <c r="B10" s="43" t="s">
        <v>21</v>
      </c>
      <c r="C10" s="38"/>
    </row>
    <row r="11" spans="2:3">
      <c r="B11" s="44"/>
      <c r="C11" s="39"/>
    </row>
    <row r="12" spans="2:3">
      <c r="B12" s="44" t="s">
        <v>7</v>
      </c>
      <c r="C12" s="39" t="str">
        <f>IF('Input csv'!$B$21="","",'Input csv'!$B$21)</f>
        <v/>
      </c>
    </row>
    <row r="13" spans="2:3">
      <c r="B13" s="44" t="s">
        <v>8</v>
      </c>
      <c r="C13" s="40" t="str">
        <f>IF('Input csv'!$B$22="","",'Input csv'!$B$22)</f>
        <v/>
      </c>
    </row>
    <row r="14" spans="2:3">
      <c r="B14" s="44" t="s">
        <v>9</v>
      </c>
      <c r="C14" s="39" t="str">
        <f>IF('Input csv'!$B$23="","",'Input csv'!$B$23)</f>
        <v/>
      </c>
    </row>
    <row r="15" spans="2:3">
      <c r="B15" s="44" t="s">
        <v>78</v>
      </c>
      <c r="C15" s="39" t="str">
        <f>IF('Input csv'!$B$24="","",'Input csv'!$B$24/100)</f>
        <v/>
      </c>
    </row>
    <row r="16" spans="2:3">
      <c r="B16" s="44" t="s">
        <v>79</v>
      </c>
      <c r="C16" s="39" t="str">
        <f>IF('Input csv'!$B$25="","",'Input csv'!$B$25)</f>
        <v/>
      </c>
    </row>
    <row r="17" spans="2:3">
      <c r="B17" s="44" t="s">
        <v>10</v>
      </c>
      <c r="C17" s="59" t="str">
        <f>IF(C16="","",C16/C15^2)</f>
        <v/>
      </c>
    </row>
    <row r="18" spans="2:3" ht="14" thickBot="1">
      <c r="B18" s="45" t="s">
        <v>11</v>
      </c>
      <c r="C18" s="41" t="str">
        <f>IF('Input csv'!$B$26="","",'Input csv'!$B$26)</f>
        <v/>
      </c>
    </row>
    <row r="21" spans="2:3">
      <c r="B21" s="43" t="s">
        <v>20</v>
      </c>
      <c r="C21" s="38"/>
    </row>
    <row r="22" spans="2:3">
      <c r="B22" s="44"/>
      <c r="C22" s="39"/>
    </row>
    <row r="23" spans="2:3">
      <c r="B23" s="44" t="s">
        <v>33</v>
      </c>
      <c r="C23" s="39">
        <f>IF(MID('Input csv'!$B$11,1,3)="",100,MID('Input csv'!$B$11,1,3))</f>
        <v>100</v>
      </c>
    </row>
    <row r="24" spans="2:3">
      <c r="B24" s="44" t="s">
        <v>12</v>
      </c>
      <c r="C24" s="39" t="str">
        <f>IF('Input csv'!$B$14="","",'Input csv'!$B$14)</f>
        <v/>
      </c>
    </row>
    <row r="25" spans="2:3">
      <c r="B25" s="44" t="s">
        <v>13</v>
      </c>
      <c r="C25" s="42" t="str">
        <f>IF('Input csv'!$A$101="","",LEFT('Input csv'!$A$101,16))</f>
        <v/>
      </c>
    </row>
    <row r="26" spans="2:3">
      <c r="B26" s="44" t="s">
        <v>14</v>
      </c>
      <c r="C26" s="42" t="str">
        <f ca="1">IF('Input csv'!$A$101="","",LEFT(OFFSET('Input csv'!$A$101,rows-1,0,1,1),16))</f>
        <v/>
      </c>
    </row>
    <row r="27" spans="2:3">
      <c r="B27" s="44" t="s">
        <v>32</v>
      </c>
      <c r="C27" s="59" t="str">
        <f>IF('Input csv'!$A$101="","",rows/1440)</f>
        <v/>
      </c>
    </row>
    <row r="28" spans="2:3">
      <c r="B28" s="44" t="s">
        <v>34</v>
      </c>
      <c r="C28" s="59" t="str">
        <f>IF('Input csv'!A101="","",(COUNTIF('Full Data Array'!W:W,FALSE)+$C$36)/1440)</f>
        <v/>
      </c>
    </row>
    <row r="29" spans="2:3">
      <c r="B29" s="44" t="s">
        <v>15</v>
      </c>
      <c r="C29" s="39" t="str">
        <f>IF('Input csv'!$B$31="","",'Input csv'!$B$31)</f>
        <v/>
      </c>
    </row>
    <row r="30" spans="2:3">
      <c r="B30" s="44" t="s">
        <v>16</v>
      </c>
      <c r="C30" s="39" t="str">
        <f>IF('Input csv'!$B$32="","",'Input csv'!$B$32)</f>
        <v/>
      </c>
    </row>
    <row r="31" spans="2:3" ht="14" thickBot="1">
      <c r="B31" s="45" t="s">
        <v>17</v>
      </c>
      <c r="C31" s="41" t="str">
        <f>IF('Input csv'!$B$34="","",'Input csv'!$B$34)</f>
        <v/>
      </c>
    </row>
    <row r="34" spans="2:3">
      <c r="B34" s="43" t="s">
        <v>19</v>
      </c>
      <c r="C34" s="38"/>
    </row>
    <row r="35" spans="2:3">
      <c r="B35" s="44" t="s">
        <v>18</v>
      </c>
      <c r="C35" s="39">
        <f>'User Inputs'!$C$9</f>
        <v>8</v>
      </c>
    </row>
    <row r="36" spans="2:3" ht="14" thickBot="1">
      <c r="B36" s="45"/>
      <c r="C36" s="41"/>
    </row>
    <row r="39" spans="2:3" ht="60" customHeight="1" thickBot="1">
      <c r="B39" s="46" t="s">
        <v>0</v>
      </c>
      <c r="C39" s="58" t="str">
        <f>IF('User Inputs'!$C$6="","",'User Inputs'!$C$6)</f>
        <v/>
      </c>
    </row>
    <row r="44" spans="2:3" ht="86.25" customHeight="1"/>
  </sheetData>
  <phoneticPr fontId="2" type="noConversion"/>
  <printOptions horizontalCentered="1"/>
  <pageMargins left="0.70866141732283472" right="0.70866141732283472" top="0.74803149606299213" bottom="0.74803149606299213" header="0.31496062992125984" footer="0.31496062992125984"/>
  <pageSetup paperSize="9" fitToWidth="0" fitToHeight="0" orientation="portrait" r:id="rId1"/>
  <headerFooter>
    <oddFooter>&amp;L&amp;G   &amp;P   of &amp;N&amp;R© Activinsights Ltd 2017</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P34"/>
  <sheetViews>
    <sheetView showGridLines="0" showRowColHeaders="0" view="pageBreakPreview" zoomScaleNormal="100" zoomScaleSheetLayoutView="100" workbookViewId="0">
      <pane ySplit="2" topLeftCell="A3" activePane="bottomLeft" state="frozen"/>
      <selection activeCell="C28" sqref="C28"/>
      <selection pane="bottomLeft" activeCell="E8" sqref="E8"/>
    </sheetView>
  </sheetViews>
  <sheetFormatPr baseColWidth="10" defaultColWidth="0" defaultRowHeight="13"/>
  <cols>
    <col min="1" max="2" width="2" customWidth="1"/>
    <col min="3" max="8" width="8.6640625" customWidth="1"/>
    <col min="9" max="9" width="4" bestFit="1" customWidth="1"/>
    <col min="10" max="15" width="8.6640625" customWidth="1"/>
    <col min="16" max="16" width="1.5" customWidth="1"/>
  </cols>
  <sheetData>
    <row r="1" spans="1:16" s="20" customFormat="1" ht="14.25" customHeight="1">
      <c r="B1" s="79"/>
      <c r="C1" s="78" t="s">
        <v>77</v>
      </c>
      <c r="J1" s="80"/>
      <c r="K1" s="80"/>
      <c r="L1" s="80"/>
    </row>
    <row r="2" spans="1:16" s="20" customFormat="1" ht="36" customHeight="1">
      <c r="B2" s="81"/>
      <c r="C2" s="108">
        <v>0.625</v>
      </c>
      <c r="D2" s="109"/>
      <c r="E2" s="108">
        <v>0.79166666666666663</v>
      </c>
      <c r="F2" s="110"/>
      <c r="G2" s="108">
        <v>0.95833333333333337</v>
      </c>
      <c r="H2" s="111"/>
      <c r="I2" s="113">
        <v>0.125</v>
      </c>
      <c r="J2" s="109"/>
      <c r="K2" s="112">
        <v>0.29166666666666669</v>
      </c>
      <c r="L2" s="109"/>
      <c r="M2" s="112">
        <v>0.45833333333333331</v>
      </c>
      <c r="N2" s="109"/>
      <c r="O2" s="112">
        <v>0.625</v>
      </c>
      <c r="P2" s="82"/>
    </row>
    <row r="3" spans="1:16" ht="12.75" customHeight="1">
      <c r="A3" s="114" t="e">
        <f ca="1">'Full Data Array'!BB4</f>
        <v>#VALUE!</v>
      </c>
      <c r="B3" s="115" t="str">
        <f>'Full Data Array'!BD4</f>
        <v/>
      </c>
      <c r="D3" s="65"/>
    </row>
    <row r="4" spans="1:16">
      <c r="A4" s="114"/>
      <c r="B4" s="115"/>
      <c r="C4" s="17"/>
    </row>
    <row r="5" spans="1:16">
      <c r="A5" s="114"/>
      <c r="B5" s="115"/>
      <c r="C5" s="17"/>
    </row>
    <row r="6" spans="1:16" ht="12.75" customHeight="1">
      <c r="A6" s="114"/>
      <c r="B6" s="115"/>
      <c r="C6" s="17"/>
    </row>
    <row r="7" spans="1:16">
      <c r="A7" s="93"/>
      <c r="B7" s="93"/>
      <c r="C7" s="17"/>
    </row>
    <row r="8" spans="1:16">
      <c r="A8" s="93"/>
      <c r="B8" s="93"/>
      <c r="C8" s="17"/>
    </row>
    <row r="9" spans="1:16">
      <c r="A9" s="93"/>
      <c r="B9" s="93"/>
      <c r="C9" s="15"/>
    </row>
    <row r="10" spans="1:16">
      <c r="B10" s="16"/>
      <c r="C10" s="17"/>
    </row>
    <row r="11" spans="1:16">
      <c r="B11" s="16"/>
      <c r="C11" s="17"/>
    </row>
    <row r="12" spans="1:16">
      <c r="B12" s="16"/>
      <c r="C12" s="17"/>
      <c r="L12" s="107">
        <f>K12+1</f>
        <v>1</v>
      </c>
    </row>
    <row r="13" spans="1:16">
      <c r="B13" s="16"/>
      <c r="C13" s="17"/>
      <c r="E13" s="94">
        <v>56</v>
      </c>
      <c r="F13" s="94"/>
      <c r="G13" s="94"/>
      <c r="H13" s="94"/>
      <c r="I13" s="94"/>
      <c r="J13" s="94"/>
      <c r="K13" s="94">
        <v>56</v>
      </c>
      <c r="L13" s="107">
        <f t="shared" ref="L13:L23" si="0">K13+1</f>
        <v>57</v>
      </c>
    </row>
    <row r="14" spans="1:16">
      <c r="B14" s="16"/>
      <c r="C14" s="17"/>
      <c r="E14" s="94">
        <v>1</v>
      </c>
      <c r="F14" s="94"/>
      <c r="G14" s="94"/>
      <c r="H14" s="94"/>
      <c r="I14" s="94"/>
      <c r="J14" s="94"/>
      <c r="K14" s="94">
        <v>23</v>
      </c>
      <c r="L14" s="107">
        <f t="shared" si="0"/>
        <v>24</v>
      </c>
    </row>
    <row r="15" spans="1:16">
      <c r="D15" s="19"/>
      <c r="E15" s="94">
        <v>1</v>
      </c>
      <c r="F15" s="94"/>
      <c r="G15" s="94"/>
      <c r="H15" s="94"/>
      <c r="I15" s="94"/>
      <c r="J15" s="94"/>
      <c r="K15" s="94">
        <v>23</v>
      </c>
      <c r="L15" s="107">
        <f t="shared" si="0"/>
        <v>24</v>
      </c>
    </row>
    <row r="16" spans="1:16">
      <c r="D16" s="19"/>
      <c r="E16" s="94">
        <v>1</v>
      </c>
      <c r="F16" s="94"/>
      <c r="G16" s="94"/>
      <c r="H16" s="94"/>
      <c r="I16" s="94"/>
      <c r="J16" s="94"/>
      <c r="K16" s="94">
        <v>23</v>
      </c>
      <c r="L16" s="107">
        <f t="shared" si="0"/>
        <v>24</v>
      </c>
    </row>
    <row r="17" spans="4:12">
      <c r="D17" s="19"/>
      <c r="E17" s="94">
        <v>1</v>
      </c>
      <c r="F17" s="94"/>
      <c r="G17" s="94"/>
      <c r="H17" s="94"/>
      <c r="I17" s="94"/>
      <c r="J17" s="94"/>
      <c r="K17" s="94">
        <v>23</v>
      </c>
      <c r="L17" s="107">
        <f t="shared" si="0"/>
        <v>24</v>
      </c>
    </row>
    <row r="18" spans="4:12">
      <c r="D18" s="19"/>
      <c r="E18" s="94">
        <v>1</v>
      </c>
      <c r="F18" s="94"/>
      <c r="G18" s="94"/>
      <c r="H18" s="94"/>
      <c r="I18" s="94"/>
      <c r="J18" s="94"/>
      <c r="K18" s="94">
        <v>23</v>
      </c>
      <c r="L18" s="107">
        <f t="shared" si="0"/>
        <v>24</v>
      </c>
    </row>
    <row r="19" spans="4:12">
      <c r="D19" s="19"/>
      <c r="E19" s="94">
        <v>1</v>
      </c>
      <c r="F19" s="94"/>
      <c r="G19" s="94"/>
      <c r="H19" s="94"/>
      <c r="I19" s="94"/>
      <c r="J19" s="94"/>
      <c r="K19" s="94">
        <v>23</v>
      </c>
      <c r="L19" s="107">
        <f t="shared" si="0"/>
        <v>24</v>
      </c>
    </row>
    <row r="20" spans="4:12">
      <c r="D20" s="19"/>
      <c r="E20" s="94">
        <v>1</v>
      </c>
      <c r="F20" s="94"/>
      <c r="G20" s="94"/>
      <c r="H20" s="94"/>
      <c r="I20" s="94"/>
      <c r="J20" s="94"/>
      <c r="K20" s="94">
        <v>23</v>
      </c>
      <c r="L20" s="107">
        <f t="shared" si="0"/>
        <v>24</v>
      </c>
    </row>
    <row r="21" spans="4:12">
      <c r="D21" s="19"/>
      <c r="E21" s="94">
        <v>1</v>
      </c>
      <c r="F21" s="94"/>
      <c r="G21" s="94"/>
      <c r="H21" s="94"/>
      <c r="I21" s="94"/>
      <c r="J21" s="94"/>
      <c r="K21" s="94">
        <v>23</v>
      </c>
      <c r="L21" s="107">
        <f t="shared" si="0"/>
        <v>24</v>
      </c>
    </row>
    <row r="22" spans="4:12">
      <c r="D22" s="19"/>
      <c r="E22" s="94">
        <v>1</v>
      </c>
      <c r="F22" s="94"/>
      <c r="G22" s="94"/>
      <c r="H22" s="94"/>
      <c r="I22" s="94"/>
      <c r="J22" s="94"/>
      <c r="K22" s="94">
        <v>56</v>
      </c>
      <c r="L22" s="107">
        <f t="shared" si="0"/>
        <v>57</v>
      </c>
    </row>
    <row r="23" spans="4:12">
      <c r="D23" s="19"/>
      <c r="E23" s="94">
        <v>1</v>
      </c>
      <c r="F23" s="94"/>
      <c r="G23" s="94"/>
      <c r="H23" s="94"/>
      <c r="I23" s="94"/>
      <c r="J23" s="94"/>
      <c r="K23" s="94">
        <v>56</v>
      </c>
      <c r="L23" s="107">
        <f t="shared" si="0"/>
        <v>57</v>
      </c>
    </row>
    <row r="24" spans="4:12">
      <c r="D24" s="19"/>
      <c r="E24" s="94">
        <v>1</v>
      </c>
      <c r="F24" s="94"/>
      <c r="G24" s="94"/>
      <c r="H24" s="94"/>
      <c r="I24" s="94"/>
      <c r="J24" s="94"/>
      <c r="K24" s="94">
        <v>56</v>
      </c>
    </row>
    <row r="25" spans="4:12">
      <c r="D25" s="19"/>
      <c r="E25" s="94">
        <v>1</v>
      </c>
      <c r="F25" s="94"/>
      <c r="G25" s="94"/>
      <c r="H25" s="94"/>
      <c r="I25" s="94"/>
      <c r="J25" s="94"/>
      <c r="K25" s="94">
        <v>56</v>
      </c>
    </row>
    <row r="26" spans="4:12">
      <c r="D26" s="19"/>
      <c r="E26" s="94">
        <v>1</v>
      </c>
      <c r="F26" s="94"/>
      <c r="G26" s="94"/>
      <c r="H26" s="94"/>
      <c r="I26" s="94"/>
      <c r="J26" s="94"/>
      <c r="K26" s="94">
        <v>56</v>
      </c>
    </row>
    <row r="27" spans="4:12">
      <c r="D27" s="19"/>
      <c r="E27" s="94">
        <v>1</v>
      </c>
      <c r="F27" s="94"/>
      <c r="G27" s="94"/>
      <c r="H27" s="94"/>
      <c r="I27" s="94"/>
      <c r="J27" s="94"/>
      <c r="K27" s="94">
        <v>56</v>
      </c>
    </row>
    <row r="28" spans="4:12">
      <c r="E28" s="94">
        <v>1</v>
      </c>
      <c r="F28" s="94"/>
      <c r="G28" s="94"/>
      <c r="H28" s="94"/>
      <c r="I28" s="94"/>
      <c r="J28" s="94"/>
      <c r="K28" s="94">
        <v>56</v>
      </c>
    </row>
    <row r="29" spans="4:12">
      <c r="E29" s="94">
        <v>56</v>
      </c>
      <c r="F29" s="94"/>
      <c r="G29" s="94"/>
      <c r="H29" s="94"/>
      <c r="I29" s="94"/>
      <c r="J29" s="94"/>
      <c r="K29" s="94">
        <v>56</v>
      </c>
    </row>
    <row r="30" spans="4:12">
      <c r="E30" s="94">
        <v>56</v>
      </c>
      <c r="F30" s="94"/>
      <c r="G30" s="94"/>
      <c r="H30" s="94"/>
      <c r="I30" s="94"/>
      <c r="J30" s="94"/>
      <c r="K30" s="94">
        <v>56</v>
      </c>
    </row>
    <row r="31" spans="4:12">
      <c r="E31" s="94"/>
      <c r="F31" s="94"/>
      <c r="G31" s="94"/>
      <c r="H31" s="94"/>
      <c r="I31" s="94"/>
      <c r="J31" s="94"/>
      <c r="K31" s="94"/>
    </row>
    <row r="32" spans="4:12">
      <c r="E32" s="94"/>
      <c r="F32" s="94"/>
      <c r="G32" s="94"/>
      <c r="H32" s="94"/>
      <c r="I32" s="94"/>
      <c r="J32" s="94"/>
      <c r="K32" s="94"/>
    </row>
    <row r="33" spans="5:11">
      <c r="E33" s="94"/>
      <c r="F33" s="94"/>
      <c r="G33" s="94"/>
      <c r="H33" s="94"/>
      <c r="I33" s="94"/>
      <c r="J33" s="94"/>
      <c r="K33" s="94"/>
    </row>
    <row r="34" spans="5:11">
      <c r="E34" s="94"/>
      <c r="F34" s="94"/>
      <c r="G34" s="94"/>
      <c r="H34" s="94"/>
      <c r="I34" s="94"/>
      <c r="J34" s="94"/>
      <c r="K34" s="94"/>
    </row>
  </sheetData>
  <mergeCells count="2">
    <mergeCell ref="A3:A6"/>
    <mergeCell ref="B3:B6"/>
  </mergeCells>
  <phoneticPr fontId="0" type="noConversion"/>
  <printOptions horizontalCentered="1"/>
  <pageMargins left="0" right="0.19685039370078741" top="0.19685039370078741" bottom="0" header="0" footer="0.19685039370078741"/>
  <pageSetup paperSize="9" fitToHeight="0" orientation="landscape" r:id="rId1"/>
  <headerFooter scaleWithDoc="0">
    <oddFooter>&amp;L&amp;G   &amp;P   of &amp;N&amp;R© Activinsights Ltd 2017</oddFooter>
  </headerFooter>
  <rowBreaks count="2" manualBreakCount="2">
    <brk id="30" max="16383" man="1"/>
    <brk id="58" max="14" man="1"/>
  </rowBreaks>
  <colBreaks count="2" manualBreakCount="2">
    <brk id="2" max="1048575" man="1"/>
    <brk id="4" max="1048575" man="1"/>
  </colBreaks>
  <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B1:O10"/>
  <sheetViews>
    <sheetView showGridLines="0" showRowColHeaders="0" workbookViewId="0">
      <selection activeCell="J6" sqref="J6"/>
    </sheetView>
  </sheetViews>
  <sheetFormatPr baseColWidth="10" defaultColWidth="0" defaultRowHeight="13"/>
  <cols>
    <col min="1" max="1" width="1.33203125" customWidth="1"/>
    <col min="2" max="2" width="1.1640625" style="74" customWidth="1"/>
    <col min="3" max="3" width="19.33203125" style="89" customWidth="1"/>
    <col min="4" max="5" width="7.5" customWidth="1"/>
    <col min="6" max="8" width="8.1640625" customWidth="1"/>
    <col min="9" max="9" width="5.1640625" customWidth="1"/>
    <col min="10" max="10" width="7.5" customWidth="1"/>
    <col min="11" max="11" width="8.1640625" customWidth="1"/>
    <col min="12" max="12" width="9.5" customWidth="1"/>
    <col min="13" max="14" width="2.83203125" hidden="1" customWidth="1"/>
    <col min="15" max="15" width="0.6640625" customWidth="1"/>
    <col min="16" max="16" width="1" customWidth="1"/>
  </cols>
  <sheetData>
    <row r="1" spans="2:15" ht="3.75" customHeight="1"/>
    <row r="2" spans="2:15" ht="18">
      <c r="D2" s="57" t="s">
        <v>43</v>
      </c>
      <c r="E2" s="29"/>
      <c r="F2" s="56"/>
      <c r="G2" s="56"/>
      <c r="H2" s="56"/>
      <c r="I2" s="56"/>
      <c r="J2" s="56"/>
      <c r="K2" s="56"/>
      <c r="L2" s="56"/>
      <c r="M2" s="56"/>
      <c r="N2" s="29"/>
      <c r="O2" s="29"/>
    </row>
    <row r="3" spans="2:15">
      <c r="B3" s="75"/>
      <c r="C3" s="90"/>
      <c r="D3" s="54"/>
      <c r="E3" s="54"/>
      <c r="F3" s="54"/>
      <c r="G3" s="54"/>
      <c r="H3" s="54"/>
      <c r="I3" s="54"/>
      <c r="J3" s="54"/>
      <c r="K3" s="54"/>
      <c r="L3" s="54"/>
      <c r="M3" s="54"/>
      <c r="N3" s="52"/>
      <c r="O3" s="53"/>
    </row>
    <row r="4" spans="2:15" s="55" customFormat="1" ht="214">
      <c r="B4" s="76"/>
      <c r="C4" s="83" t="s">
        <v>66</v>
      </c>
      <c r="D4" s="83" t="s">
        <v>56</v>
      </c>
      <c r="E4" s="83" t="s">
        <v>57</v>
      </c>
      <c r="F4" s="83" t="s">
        <v>58</v>
      </c>
      <c r="G4" s="83" t="s">
        <v>59</v>
      </c>
      <c r="H4" s="83" t="s">
        <v>39</v>
      </c>
      <c r="I4" s="83" t="s">
        <v>38</v>
      </c>
      <c r="J4" s="83" t="s">
        <v>44</v>
      </c>
      <c r="K4" s="83" t="s">
        <v>61</v>
      </c>
      <c r="L4" s="83" t="s">
        <v>60</v>
      </c>
      <c r="M4" s="86" t="s">
        <v>62</v>
      </c>
      <c r="N4" s="86" t="s">
        <v>63</v>
      </c>
      <c r="O4" s="73"/>
    </row>
    <row r="5" spans="2:15" s="55" customFormat="1" ht="11.25" customHeight="1">
      <c r="B5" s="76"/>
      <c r="C5" s="91"/>
      <c r="D5" s="72"/>
      <c r="E5" s="72"/>
      <c r="F5" s="72"/>
      <c r="G5" s="72"/>
      <c r="H5" s="72"/>
      <c r="I5" s="72"/>
      <c r="J5" s="72"/>
      <c r="K5" s="72"/>
      <c r="L5" s="72"/>
      <c r="M5" s="87"/>
      <c r="N5" s="87"/>
      <c r="O5" s="84"/>
    </row>
    <row r="6" spans="2:15">
      <c r="B6" s="77">
        <v>0</v>
      </c>
      <c r="C6" s="98" t="str">
        <f>IF(D6="","",'Full Data Array'!BB4 &amp; " night " &amp; 'Full Data Array'!BD4)</f>
        <v/>
      </c>
      <c r="D6" s="99"/>
      <c r="E6" s="99"/>
      <c r="F6" s="100" t="str">
        <f>IF(D6="","",N6-M6)</f>
        <v/>
      </c>
      <c r="G6" s="101" t="str">
        <f ca="1">IF(D6="","",SUM(OFFSET('Full Data Array'!$Z$4,M6-4,0,N6-M6,1)))</f>
        <v/>
      </c>
      <c r="H6" s="102" t="str">
        <f ca="1">IF(G6="","",G6/F6)</f>
        <v/>
      </c>
      <c r="I6" s="103"/>
      <c r="J6" s="104"/>
      <c r="K6" s="103" t="str">
        <f ca="1">IF(M6="","",SUM(OFFSET('Full Data Array'!$AI$4,0,0,M6-3,1)))</f>
        <v/>
      </c>
      <c r="L6" s="105" t="str">
        <f ca="1">IF(M6="","",SUM(OFFSET('Full Data Array'!$M$4,0,0,M6-3,1)))</f>
        <v/>
      </c>
      <c r="M6" s="88" t="str">
        <f>IF(D6="","",IF(D6&gt;0.5,midnight_row-(1-D6)*1440+$B6*1440+1,midnight_row+D6*1440+$B6*1440+1))</f>
        <v/>
      </c>
      <c r="N6" s="88" t="str">
        <f>IF(E6="","",IF((E6-1)&gt;D6,(E6-D6-1)*1440+M6,IF(E6&lt;D6,(E6-D6+1)*1440+M6,(E6-D6)*1440+M6)))</f>
        <v/>
      </c>
      <c r="O6" s="85"/>
    </row>
    <row r="7" spans="2:15">
      <c r="B7" s="77">
        <v>1</v>
      </c>
      <c r="C7" s="98" t="str">
        <f>IF(D7="","",'Full Data Array'!BB5 &amp; " night " &amp; 'Full Data Array'!BD5)</f>
        <v/>
      </c>
      <c r="D7" s="99"/>
      <c r="E7" s="99"/>
      <c r="F7" s="100" t="str">
        <f>IF(D7="","",N7-M7)</f>
        <v/>
      </c>
      <c r="G7" s="101" t="str">
        <f ca="1">IF(D7="","",SUM(OFFSET('Full Data Array'!$Z$4,M7-4,0,N7-M7,1)))</f>
        <v/>
      </c>
      <c r="H7" s="102" t="str">
        <f ca="1">IF(G7="","",G7/F7)</f>
        <v/>
      </c>
      <c r="I7" s="105"/>
      <c r="J7" s="105"/>
      <c r="K7" s="100" t="str">
        <f ca="1">IF(M7="","",SUM(OFFSET('Full Data Array'!AI$4,N6-3,0,M7-N6,1)))</f>
        <v/>
      </c>
      <c r="L7" s="105" t="str">
        <f ca="1">IF(M7="","",SUM(OFFSET('Full Data Array'!M$4,N6-3,0,M7-N6,1)))</f>
        <v/>
      </c>
      <c r="M7" s="88" t="str">
        <f>IF(D7="","",IF(D7&gt;0.5,midnight_row-(1-D7)*1440+$B7*1440+1,midnight_row+D7*1440+$B7*1440+1))</f>
        <v/>
      </c>
      <c r="N7" s="88" t="str">
        <f>IF(E7="","",IF((E7-1)&gt;D7,(E7-D7-1)*1440+M7,IF(E7&lt;D7,(E7-D7+1)*1440+M7,(E7-D7)*1440+M7)))</f>
        <v/>
      </c>
      <c r="O7" s="85"/>
    </row>
    <row r="8" spans="2:15">
      <c r="B8" s="77">
        <v>2</v>
      </c>
      <c r="C8" s="98" t="str">
        <f>IF(D8="","",'Full Data Array'!BB6 &amp; " night " &amp; 'Full Data Array'!BD6)</f>
        <v/>
      </c>
      <c r="D8" s="99"/>
      <c r="E8" s="99"/>
      <c r="F8" s="100" t="str">
        <f>IF(D8="","",N8-M8)</f>
        <v/>
      </c>
      <c r="G8" s="101" t="str">
        <f ca="1">IF(D8="","",SUM(OFFSET('Full Data Array'!$Z$4,M8-4,0,N8-M8,1)))</f>
        <v/>
      </c>
      <c r="H8" s="102" t="str">
        <f ca="1">IF(G8="","",G8/F8)</f>
        <v/>
      </c>
      <c r="I8" s="105"/>
      <c r="J8" s="105"/>
      <c r="K8" s="100" t="str">
        <f ca="1">IF(M8="","",SUM(OFFSET('Full Data Array'!AI$4,N7-3,0,M8-N7,1)))</f>
        <v/>
      </c>
      <c r="L8" s="105" t="str">
        <f ca="1">IF(M8="","",SUM(OFFSET('Full Data Array'!M$4,N7-3,0,M8-N7,1)))</f>
        <v/>
      </c>
      <c r="M8" s="88" t="str">
        <f>IF(D8="","",IF(D8&gt;0.5,midnight_row-(1-D8)*1440+$B8*1440+1,midnight_row+D8*1440+$B8*1440+1))</f>
        <v/>
      </c>
      <c r="N8" s="88" t="str">
        <f>IF(E8="","",IF((E8-1)&gt;D8,(E8-D8-1)*1440+M8,IF(E8&lt;D8,(E8-D8+1)*1440+M8,(E8-D8)*1440+M8)))</f>
        <v/>
      </c>
      <c r="O8" s="85"/>
    </row>
    <row r="9" spans="2:15">
      <c r="B9"/>
      <c r="C9" s="92"/>
    </row>
    <row r="10" spans="2:15">
      <c r="B10"/>
      <c r="C10" s="92"/>
    </row>
  </sheetData>
  <phoneticPr fontId="20" type="noConversion"/>
  <dataValidations count="1">
    <dataValidation type="custom" errorStyle="warning" allowBlank="1" showInputMessage="1" showErrorMessage="1" errorTitle="Rise time after bed time" error="Please change the bed or rise time" sqref="F6:F8" xr:uid="{00000000-0002-0000-0500-000000000000}">
      <formula1>"&lt;0"</formula1>
    </dataValidation>
  </dataValidations>
  <pageMargins left="0.70866141732283472" right="0.70866141732283472" top="0.74803149606299213" bottom="0.74803149606299213" header="0.31496062992125984" footer="0.31496062992125984"/>
  <pageSetup paperSize="9" scale="95" orientation="portrait" r:id="rId1"/>
  <headerFooter>
    <oddFooter>&amp;L&amp;G   &amp;P   of &amp;N&amp;R© Activinsights Ltd 2017</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263307" r:id="rId5" name="Button 395">
              <controlPr defaultSize="0" print="0" autoFill="0" autoPict="0" macro="[0]!sleep_and_activity_analysis_update">
                <anchor moveWithCells="1" sizeWithCells="1">
                  <from>
                    <xdr:col>3</xdr:col>
                    <xdr:colOff>241300</xdr:colOff>
                    <xdr:row>3</xdr:row>
                    <xdr:rowOff>139700</xdr:rowOff>
                  </from>
                  <to>
                    <xdr:col>7</xdr:col>
                    <xdr:colOff>330200</xdr:colOff>
                    <xdr:row>3</xdr:row>
                    <xdr:rowOff>901700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C2"/>
  <sheetViews>
    <sheetView workbookViewId="0">
      <selection activeCell="I14" sqref="I14"/>
    </sheetView>
  </sheetViews>
  <sheetFormatPr baseColWidth="10" defaultColWidth="8.83203125" defaultRowHeight="13"/>
  <cols>
    <col min="1" max="1" width="2" customWidth="1"/>
    <col min="3" max="3" width="56.33203125" customWidth="1"/>
  </cols>
  <sheetData>
    <row r="1" spans="2:3">
      <c r="B1" s="20" t="s">
        <v>73</v>
      </c>
      <c r="C1" s="20" t="s">
        <v>75</v>
      </c>
    </row>
    <row r="2" spans="2:3" ht="42">
      <c r="B2" t="s">
        <v>74</v>
      </c>
      <c r="C2" s="106" t="s">
        <v>76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22</vt:i4>
      </vt:variant>
    </vt:vector>
  </HeadingPairs>
  <TitlesOfParts>
    <vt:vector size="29" baseType="lpstr">
      <vt:lpstr>Input csv</vt:lpstr>
      <vt:lpstr>Full Data Array</vt:lpstr>
      <vt:lpstr>User Inputs</vt:lpstr>
      <vt:lpstr>Front Page</vt:lpstr>
      <vt:lpstr>Light &amp; Temp Charts</vt:lpstr>
      <vt:lpstr>Summary</vt:lpstr>
      <vt:lpstr>Version control</vt:lpstr>
      <vt:lpstr>'Full Data Array'!act1values</vt:lpstr>
      <vt:lpstr>bed</vt:lpstr>
      <vt:lpstr>CalcOffset</vt:lpstr>
      <vt:lpstr>days</vt:lpstr>
      <vt:lpstr>frequency</vt:lpstr>
      <vt:lpstr>light_max</vt:lpstr>
      <vt:lpstr>'Full Data Array'!light1values</vt:lpstr>
      <vt:lpstr>ligth_max</vt:lpstr>
      <vt:lpstr>max_activity</vt:lpstr>
      <vt:lpstr>max_temp</vt:lpstr>
      <vt:lpstr>midnight_row</vt:lpstr>
      <vt:lpstr>noon_row</vt:lpstr>
      <vt:lpstr>'Full Data Array'!Print_Area</vt:lpstr>
      <vt:lpstr>'Light &amp; Temp Charts'!Print_Area</vt:lpstr>
      <vt:lpstr>Summary!Print_Area</vt:lpstr>
      <vt:lpstr>'Light &amp; Temp Charts'!Print_Titles</vt:lpstr>
      <vt:lpstr>Res</vt:lpstr>
      <vt:lpstr>rows</vt:lpstr>
      <vt:lpstr>ss</vt:lpstr>
      <vt:lpstr>T0</vt:lpstr>
      <vt:lpstr>temp_max</vt:lpstr>
      <vt:lpstr>'Full Data Array'!xvalues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Charlie Sweetland</dc:creator>
  <cp:lastModifiedBy>Dimitrios Psaltos</cp:lastModifiedBy>
  <cp:lastPrinted>2017-02-22T16:22:51Z</cp:lastPrinted>
  <dcterms:created xsi:type="dcterms:W3CDTF">2011-04-07T11:58:57Z</dcterms:created>
  <dcterms:modified xsi:type="dcterms:W3CDTF">2019-06-17T14:28:57Z</dcterms:modified>
</cp:coreProperties>
</file>